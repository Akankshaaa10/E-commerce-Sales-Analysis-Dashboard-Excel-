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AKANKSHA\Downloads\"/>
    </mc:Choice>
  </mc:AlternateContent>
  <xr:revisionPtr revIDLastSave="0" documentId="13_ncr:1_{19C49282-6D21-41A4-B3C2-CE77129A11AF}" xr6:coauthVersionLast="47" xr6:coauthVersionMax="47" xr10:uidLastSave="{00000000-0000-0000-0000-000000000000}"/>
  <bookViews>
    <workbookView xWindow="-108" yWindow="-108" windowWidth="23256" windowHeight="12456" firstSheet="1" activeTab="7" xr2:uid="{00000000-000D-0000-FFFF-FFFF00000000}"/>
  </bookViews>
  <sheets>
    <sheet name="Raw Data" sheetId="2" r:id="rId1"/>
    <sheet name="Cleaned Data" sheetId="3" r:id="rId2"/>
    <sheet name="KPI" sheetId="4" r:id="rId3"/>
    <sheet name="Regions" sheetId="5" r:id="rId4"/>
    <sheet name="Categories" sheetId="6" r:id="rId5"/>
    <sheet name="Products" sheetId="7" r:id="rId6"/>
    <sheet name="Monthly" sheetId="8" r:id="rId7"/>
    <sheet name="Dashboard" sheetId="9" r:id="rId8"/>
    <sheet name="Insights" sheetId="14" r:id="rId9"/>
  </sheets>
  <definedNames>
    <definedName name="Slicer_Category">#N/A</definedName>
    <definedName name="Slicer_Month">#N/A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4" l="1"/>
  <c r="B11" i="4" s="1"/>
  <c r="B8" i="4"/>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alcChain>
</file>

<file path=xl/sharedStrings.xml><?xml version="1.0" encoding="utf-8"?>
<sst xmlns="http://schemas.openxmlformats.org/spreadsheetml/2006/main" count="12029" uniqueCount="691">
  <si>
    <t>Order_ID</t>
  </si>
  <si>
    <t>Order_Date</t>
  </si>
  <si>
    <t>Customer_ID</t>
  </si>
  <si>
    <t>Region</t>
  </si>
  <si>
    <t>Category</t>
  </si>
  <si>
    <t>Product</t>
  </si>
  <si>
    <t>Quantity</t>
  </si>
  <si>
    <t>Price</t>
  </si>
  <si>
    <t>Revenue</t>
  </si>
  <si>
    <t>13-01-2024</t>
  </si>
  <si>
    <t>C289</t>
  </si>
  <si>
    <t>East</t>
  </si>
  <si>
    <t>home</t>
  </si>
  <si>
    <t>Lamp</t>
  </si>
  <si>
    <t>17-02-2024</t>
  </si>
  <si>
    <t>C155</t>
  </si>
  <si>
    <t>West</t>
  </si>
  <si>
    <t>Clothing</t>
  </si>
  <si>
    <t>Sneakers</t>
  </si>
  <si>
    <t>22-03-2024</t>
  </si>
  <si>
    <t>C278</t>
  </si>
  <si>
    <t xml:space="preserve">Sports </t>
  </si>
  <si>
    <t>Yoga Mat</t>
  </si>
  <si>
    <t>25-06-2024</t>
  </si>
  <si>
    <t>C254</t>
  </si>
  <si>
    <t>South</t>
  </si>
  <si>
    <t xml:space="preserve"> Home</t>
  </si>
  <si>
    <t>Mixer</t>
  </si>
  <si>
    <t>22-10-2024</t>
  </si>
  <si>
    <t>C149</t>
  </si>
  <si>
    <t xml:space="preserve">north </t>
  </si>
  <si>
    <t>electronics</t>
  </si>
  <si>
    <t>Headphones</t>
  </si>
  <si>
    <t>21-11-2024</t>
  </si>
  <si>
    <t>C313</t>
  </si>
  <si>
    <t xml:space="preserve"> SOUTH</t>
  </si>
  <si>
    <t xml:space="preserve">Home </t>
  </si>
  <si>
    <t>07-11-2024</t>
  </si>
  <si>
    <t>C262</t>
  </si>
  <si>
    <t>clothing</t>
  </si>
  <si>
    <t>22-04-2024</t>
  </si>
  <si>
    <t>C275</t>
  </si>
  <si>
    <t>North</t>
  </si>
  <si>
    <t>10-06-2024</t>
  </si>
  <si>
    <t>C154</t>
  </si>
  <si>
    <t xml:space="preserve"> Sports</t>
  </si>
  <si>
    <t>Dumbbells</t>
  </si>
  <si>
    <t>26-10-2024</t>
  </si>
  <si>
    <t>C209</t>
  </si>
  <si>
    <t>sports</t>
  </si>
  <si>
    <t>19-03-2024</t>
  </si>
  <si>
    <t>C260</t>
  </si>
  <si>
    <t xml:space="preserve">East </t>
  </si>
  <si>
    <t>Hoodie</t>
  </si>
  <si>
    <t>14-12-2024</t>
  </si>
  <si>
    <t>C284</t>
  </si>
  <si>
    <t xml:space="preserve">Electronics </t>
  </si>
  <si>
    <t>USB Cable</t>
  </si>
  <si>
    <t>13-09-2024</t>
  </si>
  <si>
    <t>C295</t>
  </si>
  <si>
    <t>28-09-2024</t>
  </si>
  <si>
    <t>C335</t>
  </si>
  <si>
    <t>west</t>
  </si>
  <si>
    <t>02-05-2024</t>
  </si>
  <si>
    <t>C114</t>
  </si>
  <si>
    <t>06-03-2024</t>
  </si>
  <si>
    <t>C268</t>
  </si>
  <si>
    <t>Skipping Rope</t>
  </si>
  <si>
    <t>31-12-2024</t>
  </si>
  <si>
    <t>C179</t>
  </si>
  <si>
    <t>27-04-2024</t>
  </si>
  <si>
    <t>C250</t>
  </si>
  <si>
    <t>T-Shirt</t>
  </si>
  <si>
    <t>20-09-2024</t>
  </si>
  <si>
    <t>C160</t>
  </si>
  <si>
    <t>Table</t>
  </si>
  <si>
    <t>07-04-2024</t>
  </si>
  <si>
    <t>C124</t>
  </si>
  <si>
    <t>Monitor</t>
  </si>
  <si>
    <t>01-02-2024</t>
  </si>
  <si>
    <t>C203</t>
  </si>
  <si>
    <t>24-08-2024</t>
  </si>
  <si>
    <t>C163</t>
  </si>
  <si>
    <t>Electronics</t>
  </si>
  <si>
    <t>26-03-2024</t>
  </si>
  <si>
    <t>C204</t>
  </si>
  <si>
    <t>20-08-2024</t>
  </si>
  <si>
    <t>C173</t>
  </si>
  <si>
    <t>C291</t>
  </si>
  <si>
    <t>Home</t>
  </si>
  <si>
    <t>05-04-2024</t>
  </si>
  <si>
    <t>C117</t>
  </si>
  <si>
    <t xml:space="preserve"> Electronics</t>
  </si>
  <si>
    <t>Mouse</t>
  </si>
  <si>
    <t>02-08-2024</t>
  </si>
  <si>
    <t>Chair</t>
  </si>
  <si>
    <t>22-08-2024</t>
  </si>
  <si>
    <t>C180</t>
  </si>
  <si>
    <t>05-02-2024</t>
  </si>
  <si>
    <t>C325</t>
  </si>
  <si>
    <t xml:space="preserve">Clothing </t>
  </si>
  <si>
    <t>Jacket</t>
  </si>
  <si>
    <t>05-01-2024</t>
  </si>
  <si>
    <t>C270</t>
  </si>
  <si>
    <t>05-11-2024</t>
  </si>
  <si>
    <t>C153</t>
  </si>
  <si>
    <t>23-01-2024</t>
  </si>
  <si>
    <t>C100</t>
  </si>
  <si>
    <t>08-02-2024</t>
  </si>
  <si>
    <t>C341</t>
  </si>
  <si>
    <t>05-07-2024</t>
  </si>
  <si>
    <t>C330</t>
  </si>
  <si>
    <t>Keyboard</t>
  </si>
  <si>
    <t>13-11-2024</t>
  </si>
  <si>
    <t>Jeans</t>
  </si>
  <si>
    <t>08-12-2024</t>
  </si>
  <si>
    <t>C321</t>
  </si>
  <si>
    <t>28-06-2024</t>
  </si>
  <si>
    <t>C178</t>
  </si>
  <si>
    <t>C264</t>
  </si>
  <si>
    <t>20-01-2024</t>
  </si>
  <si>
    <t>C127</t>
  </si>
  <si>
    <t>10-05-2024</t>
  </si>
  <si>
    <t>C111</t>
  </si>
  <si>
    <t>Football</t>
  </si>
  <si>
    <t>05-12-2024</t>
  </si>
  <si>
    <t>C317</t>
  </si>
  <si>
    <t>03-08-2024</t>
  </si>
  <si>
    <t>Cricket Bat</t>
  </si>
  <si>
    <t>06-11-2024</t>
  </si>
  <si>
    <t>C267</t>
  </si>
  <si>
    <t>03-12-2024</t>
  </si>
  <si>
    <t>C121</t>
  </si>
  <si>
    <t>Bottle</t>
  </si>
  <si>
    <t>24-01-2024</t>
  </si>
  <si>
    <t>C162</t>
  </si>
  <si>
    <t>Sports</t>
  </si>
  <si>
    <t>23-07-2024</t>
  </si>
  <si>
    <t>26-01-2024</t>
  </si>
  <si>
    <t>C242</t>
  </si>
  <si>
    <t xml:space="preserve"> Clothing</t>
  </si>
  <si>
    <t>09-11-2024</t>
  </si>
  <si>
    <t>C308</t>
  </si>
  <si>
    <t>23-09-2024</t>
  </si>
  <si>
    <t>C224</t>
  </si>
  <si>
    <t>11-02-2024</t>
  </si>
  <si>
    <t>C135</t>
  </si>
  <si>
    <t>31-07-2024</t>
  </si>
  <si>
    <t>C115</t>
  </si>
  <si>
    <t>18-07-2024</t>
  </si>
  <si>
    <t>C318</t>
  </si>
  <si>
    <t>C273</t>
  </si>
  <si>
    <t>C106</t>
  </si>
  <si>
    <t>16-06-2024</t>
  </si>
  <si>
    <t>C186</t>
  </si>
  <si>
    <t>24-04-2024</t>
  </si>
  <si>
    <t>C266</t>
  </si>
  <si>
    <t>C129</t>
  </si>
  <si>
    <t>25-02-2024</t>
  </si>
  <si>
    <t>C248</t>
  </si>
  <si>
    <t>22-02-2024</t>
  </si>
  <si>
    <t>27-11-2024</t>
  </si>
  <si>
    <t>C187</t>
  </si>
  <si>
    <t>10-08-2024</t>
  </si>
  <si>
    <t>C145</t>
  </si>
  <si>
    <t>22-05-2024</t>
  </si>
  <si>
    <t>18-04-2024</t>
  </si>
  <si>
    <t>C190</t>
  </si>
  <si>
    <t>27-07-2024</t>
  </si>
  <si>
    <t>C225</t>
  </si>
  <si>
    <t>05-06-2024</t>
  </si>
  <si>
    <t>C269</t>
  </si>
  <si>
    <t>08-05-2024</t>
  </si>
  <si>
    <t>C159</t>
  </si>
  <si>
    <t>28-10-2024</t>
  </si>
  <si>
    <t>C350</t>
  </si>
  <si>
    <t>05-03-2024</t>
  </si>
  <si>
    <t>C170</t>
  </si>
  <si>
    <t>02-09-2024</t>
  </si>
  <si>
    <t>C212</t>
  </si>
  <si>
    <t>C261</t>
  </si>
  <si>
    <t>24-09-2024</t>
  </si>
  <si>
    <t>C197</t>
  </si>
  <si>
    <t>16-04-2024</t>
  </si>
  <si>
    <t>18-08-2024</t>
  </si>
  <si>
    <t>C276</t>
  </si>
  <si>
    <t>15-05-2024</t>
  </si>
  <si>
    <t>C301</t>
  </si>
  <si>
    <t>06-06-2024</t>
  </si>
  <si>
    <t>C252</t>
  </si>
  <si>
    <t>12-08-2024</t>
  </si>
  <si>
    <t>C120</t>
  </si>
  <si>
    <t>27-10-2024</t>
  </si>
  <si>
    <t>C343</t>
  </si>
  <si>
    <t>C211</t>
  </si>
  <si>
    <t>17-06-2024</t>
  </si>
  <si>
    <t>C205</t>
  </si>
  <si>
    <t>C311</t>
  </si>
  <si>
    <t>16-11-2024</t>
  </si>
  <si>
    <t>C213</t>
  </si>
  <si>
    <t>18-11-2024</t>
  </si>
  <si>
    <t>C255</t>
  </si>
  <si>
    <t>C342</t>
  </si>
  <si>
    <t>04-05-2024</t>
  </si>
  <si>
    <t>C216</t>
  </si>
  <si>
    <t>16-09-2024</t>
  </si>
  <si>
    <t>C168</t>
  </si>
  <si>
    <t>05-10-2024</t>
  </si>
  <si>
    <t>C196</t>
  </si>
  <si>
    <t>11-06-2024</t>
  </si>
  <si>
    <t>C290</t>
  </si>
  <si>
    <t>21-02-2024</t>
  </si>
  <si>
    <t>C323</t>
  </si>
  <si>
    <t>28-08-2024</t>
  </si>
  <si>
    <t>C300</t>
  </si>
  <si>
    <t>04-10-2024</t>
  </si>
  <si>
    <t>C109</t>
  </si>
  <si>
    <t>15-08-2024</t>
  </si>
  <si>
    <t>C142</t>
  </si>
  <si>
    <t>14-03-2024</t>
  </si>
  <si>
    <t>07-02-2024</t>
  </si>
  <si>
    <t>04-09-2024</t>
  </si>
  <si>
    <t>C244</t>
  </si>
  <si>
    <t>13-12-2024</t>
  </si>
  <si>
    <t>C293</t>
  </si>
  <si>
    <t>31-05-2024</t>
  </si>
  <si>
    <t>C183</t>
  </si>
  <si>
    <t>11-05-2024</t>
  </si>
  <si>
    <t>C333</t>
  </si>
  <si>
    <t>12-10-2024</t>
  </si>
  <si>
    <t>C193</t>
  </si>
  <si>
    <t>C310</t>
  </si>
  <si>
    <t>29-02-2024</t>
  </si>
  <si>
    <t>21-04-2024</t>
  </si>
  <si>
    <t>22-07-2024</t>
  </si>
  <si>
    <t>16-10-2024</t>
  </si>
  <si>
    <t>C152</t>
  </si>
  <si>
    <t>21-05-2024</t>
  </si>
  <si>
    <t>C319</t>
  </si>
  <si>
    <t>C182</t>
  </si>
  <si>
    <t>17-08-2024</t>
  </si>
  <si>
    <t>C299</t>
  </si>
  <si>
    <t>03-06-2024</t>
  </si>
  <si>
    <t>C217</t>
  </si>
  <si>
    <t>30-05-2024</t>
  </si>
  <si>
    <t>C206</t>
  </si>
  <si>
    <t>04-02-2024</t>
  </si>
  <si>
    <t>C123</t>
  </si>
  <si>
    <t>14-10-2024</t>
  </si>
  <si>
    <t>C184</t>
  </si>
  <si>
    <t>25-04-2024</t>
  </si>
  <si>
    <t>C306</t>
  </si>
  <si>
    <t>C101</t>
  </si>
  <si>
    <t>21-03-2024</t>
  </si>
  <si>
    <t>19-09-2024</t>
  </si>
  <si>
    <t>21-07-2024</t>
  </si>
  <si>
    <t>C253</t>
  </si>
  <si>
    <t>04-01-2024</t>
  </si>
  <si>
    <t>C227</t>
  </si>
  <si>
    <t>06-02-2024</t>
  </si>
  <si>
    <t>C201</t>
  </si>
  <si>
    <t>28-05-2024</t>
  </si>
  <si>
    <t>11-08-2024</t>
  </si>
  <si>
    <t>C316</t>
  </si>
  <si>
    <t>23-04-2024</t>
  </si>
  <si>
    <t>C185</t>
  </si>
  <si>
    <t>30-04-2024</t>
  </si>
  <si>
    <t>C126</t>
  </si>
  <si>
    <t>17-11-2024</t>
  </si>
  <si>
    <t>C226</t>
  </si>
  <si>
    <t>20-05-2024</t>
  </si>
  <si>
    <t>C251</t>
  </si>
  <si>
    <t>09-02-2024</t>
  </si>
  <si>
    <t>C265</t>
  </si>
  <si>
    <t>C332</t>
  </si>
  <si>
    <t>24-05-2024</t>
  </si>
  <si>
    <t>C199</t>
  </si>
  <si>
    <t>09-05-2024</t>
  </si>
  <si>
    <t>C285</t>
  </si>
  <si>
    <t>07-03-2024</t>
  </si>
  <si>
    <t>04-07-2024</t>
  </si>
  <si>
    <t>C104</t>
  </si>
  <si>
    <t>C175</t>
  </si>
  <si>
    <t>20-12-2024</t>
  </si>
  <si>
    <t>C297</t>
  </si>
  <si>
    <t>29-04-2024</t>
  </si>
  <si>
    <t>C236</t>
  </si>
  <si>
    <t>14-07-2024</t>
  </si>
  <si>
    <t>C228</t>
  </si>
  <si>
    <t>C282</t>
  </si>
  <si>
    <t>16-02-2024</t>
  </si>
  <si>
    <t>C195</t>
  </si>
  <si>
    <t>22-12-2024</t>
  </si>
  <si>
    <t>C312</t>
  </si>
  <si>
    <t>C235</t>
  </si>
  <si>
    <t>02-02-2024</t>
  </si>
  <si>
    <t>C128</t>
  </si>
  <si>
    <t>19-10-2024</t>
  </si>
  <si>
    <t>11-01-2024</t>
  </si>
  <si>
    <t>02-12-2024</t>
  </si>
  <si>
    <t>16-12-2024</t>
  </si>
  <si>
    <t>C218</t>
  </si>
  <si>
    <t>22-01-2024</t>
  </si>
  <si>
    <t>25-01-2024</t>
  </si>
  <si>
    <t>22-06-2024</t>
  </si>
  <si>
    <t>C349</t>
  </si>
  <si>
    <t>08-08-2024</t>
  </si>
  <si>
    <t>04-11-2024</t>
  </si>
  <si>
    <t>C283</t>
  </si>
  <si>
    <t>C263</t>
  </si>
  <si>
    <t>18-01-2024</t>
  </si>
  <si>
    <t>C132</t>
  </si>
  <si>
    <t>08-07-2024</t>
  </si>
  <si>
    <t>14-01-2024</t>
  </si>
  <si>
    <t>C288</t>
  </si>
  <si>
    <t>21-12-2024</t>
  </si>
  <si>
    <t>C334</t>
  </si>
  <si>
    <t>15-12-2024</t>
  </si>
  <si>
    <t>C347</t>
  </si>
  <si>
    <t>C230</t>
  </si>
  <si>
    <t>27-08-2024</t>
  </si>
  <si>
    <t>C305</t>
  </si>
  <si>
    <t>29-07-2024</t>
  </si>
  <si>
    <t>C296</t>
  </si>
  <si>
    <t>C324</t>
  </si>
  <si>
    <t>29-12-2024</t>
  </si>
  <si>
    <t>C157</t>
  </si>
  <si>
    <t>C177</t>
  </si>
  <si>
    <t>05-05-2024</t>
  </si>
  <si>
    <t>23-06-2024</t>
  </si>
  <si>
    <t>12-06-2024</t>
  </si>
  <si>
    <t>C161</t>
  </si>
  <si>
    <t>11-11-2024</t>
  </si>
  <si>
    <t>C207</t>
  </si>
  <si>
    <t>10-09-2024</t>
  </si>
  <si>
    <t>06-07-2024</t>
  </si>
  <si>
    <t>23-05-2024</t>
  </si>
  <si>
    <t>11-04-2024</t>
  </si>
  <si>
    <t>21-08-2024</t>
  </si>
  <si>
    <t>C138</t>
  </si>
  <si>
    <t>29-09-2024</t>
  </si>
  <si>
    <t>01-11-2024</t>
  </si>
  <si>
    <t>C221</t>
  </si>
  <si>
    <t>16-03-2024</t>
  </si>
  <si>
    <t>09-06-2024</t>
  </si>
  <si>
    <t>C344</t>
  </si>
  <si>
    <t>01-06-2024</t>
  </si>
  <si>
    <t>27-05-2024</t>
  </si>
  <si>
    <t>C131</t>
  </si>
  <si>
    <t>14-08-2024</t>
  </si>
  <si>
    <t>C257</t>
  </si>
  <si>
    <t>C274</t>
  </si>
  <si>
    <t>13-06-2024</t>
  </si>
  <si>
    <t>25-05-2024</t>
  </si>
  <si>
    <t>C103</t>
  </si>
  <si>
    <t>24-07-2024</t>
  </si>
  <si>
    <t>C271</t>
  </si>
  <si>
    <t>16-05-2024</t>
  </si>
  <si>
    <t>25-10-2024</t>
  </si>
  <si>
    <t>13-10-2024</t>
  </si>
  <si>
    <t>24-12-2024</t>
  </si>
  <si>
    <t>C116</t>
  </si>
  <si>
    <t>10-07-2024</t>
  </si>
  <si>
    <t>C328</t>
  </si>
  <si>
    <t>01-04-2024</t>
  </si>
  <si>
    <t>C237</t>
  </si>
  <si>
    <t>05-08-2024</t>
  </si>
  <si>
    <t>17-01-2024</t>
  </si>
  <si>
    <t>C307</t>
  </si>
  <si>
    <t>14-09-2024</t>
  </si>
  <si>
    <t>C174</t>
  </si>
  <si>
    <t>25-09-2024</t>
  </si>
  <si>
    <t>C181</t>
  </si>
  <si>
    <t>02-06-2024</t>
  </si>
  <si>
    <t>14-04-2024</t>
  </si>
  <si>
    <t>C148</t>
  </si>
  <si>
    <t>30-09-2024</t>
  </si>
  <si>
    <t>13-05-2024</t>
  </si>
  <si>
    <t>C241</t>
  </si>
  <si>
    <t>08-10-2024</t>
  </si>
  <si>
    <t>06-10-2024</t>
  </si>
  <si>
    <t>C281</t>
  </si>
  <si>
    <t>09-01-2024</t>
  </si>
  <si>
    <t>30-06-2024</t>
  </si>
  <si>
    <t>25-12-2024</t>
  </si>
  <si>
    <t>C143</t>
  </si>
  <si>
    <t>C346</t>
  </si>
  <si>
    <t>12-12-2024</t>
  </si>
  <si>
    <t>C329</t>
  </si>
  <si>
    <t>09-08-2024</t>
  </si>
  <si>
    <t>C147</t>
  </si>
  <si>
    <t>14-02-2024</t>
  </si>
  <si>
    <t>16-07-2024</t>
  </si>
  <si>
    <t>27-03-2024</t>
  </si>
  <si>
    <t>20-07-2024</t>
  </si>
  <si>
    <t>C304</t>
  </si>
  <si>
    <t>12-07-2024</t>
  </si>
  <si>
    <t>C118</t>
  </si>
  <si>
    <t>26-11-2024</t>
  </si>
  <si>
    <t>23-02-2024</t>
  </si>
  <si>
    <t>C189</t>
  </si>
  <si>
    <t>12-01-2024</t>
  </si>
  <si>
    <t>30-10-2024</t>
  </si>
  <si>
    <t>08-11-2024</t>
  </si>
  <si>
    <t>C200</t>
  </si>
  <si>
    <t>10-11-2024</t>
  </si>
  <si>
    <t>18-09-2024</t>
  </si>
  <si>
    <t>11-10-2024</t>
  </si>
  <si>
    <t>05-09-2024</t>
  </si>
  <si>
    <t>C134</t>
  </si>
  <si>
    <t>12-02-2024</t>
  </si>
  <si>
    <t>13-08-2024</t>
  </si>
  <si>
    <t>C239</t>
  </si>
  <si>
    <t>15-04-2024</t>
  </si>
  <si>
    <t>C246</t>
  </si>
  <si>
    <t>09-07-2024</t>
  </si>
  <si>
    <t>19-04-2024</t>
  </si>
  <si>
    <t>C222</t>
  </si>
  <si>
    <t>C133</t>
  </si>
  <si>
    <t>11-03-2024</t>
  </si>
  <si>
    <t>C302</t>
  </si>
  <si>
    <t>19-12-2024</t>
  </si>
  <si>
    <t>C198</t>
  </si>
  <si>
    <t>17-07-2024</t>
  </si>
  <si>
    <t>C320</t>
  </si>
  <si>
    <t>21-01-2024</t>
  </si>
  <si>
    <t>C336</t>
  </si>
  <si>
    <t>07-06-2024</t>
  </si>
  <si>
    <t>12-05-2024</t>
  </si>
  <si>
    <t>14-05-2024</t>
  </si>
  <si>
    <t>C220</t>
  </si>
  <si>
    <t>07-07-2024</t>
  </si>
  <si>
    <t>C151</t>
  </si>
  <si>
    <t>C294</t>
  </si>
  <si>
    <t>20-06-2024</t>
  </si>
  <si>
    <t>30-12-2024</t>
  </si>
  <si>
    <t>C171</t>
  </si>
  <si>
    <t>15-09-2024</t>
  </si>
  <si>
    <t>C139</t>
  </si>
  <si>
    <t>19-08-2024</t>
  </si>
  <si>
    <t>20-04-2024</t>
  </si>
  <si>
    <t>30-03-2024</t>
  </si>
  <si>
    <t>C107</t>
  </si>
  <si>
    <t>20-10-2024</t>
  </si>
  <si>
    <t>C210</t>
  </si>
  <si>
    <t>C214</t>
  </si>
  <si>
    <t>29-01-2024</t>
  </si>
  <si>
    <t>29-10-2024</t>
  </si>
  <si>
    <t>14-06-2024</t>
  </si>
  <si>
    <t>C125</t>
  </si>
  <si>
    <t>19-07-2024</t>
  </si>
  <si>
    <t>01-05-2024</t>
  </si>
  <si>
    <t>C188</t>
  </si>
  <si>
    <t>C165</t>
  </si>
  <si>
    <t>C113</t>
  </si>
  <si>
    <t>22-11-2024</t>
  </si>
  <si>
    <t>24-11-2024</t>
  </si>
  <si>
    <t>C158</t>
  </si>
  <si>
    <t>10-02-2024</t>
  </si>
  <si>
    <t>15-06-2024</t>
  </si>
  <si>
    <t>C245</t>
  </si>
  <si>
    <t>08-06-2024</t>
  </si>
  <si>
    <t>12-04-2024</t>
  </si>
  <si>
    <t>C314</t>
  </si>
  <si>
    <t>09-10-2024</t>
  </si>
  <si>
    <t>30-08-2024</t>
  </si>
  <si>
    <t>04-08-2024</t>
  </si>
  <si>
    <t>23-11-2024</t>
  </si>
  <si>
    <t>04-12-2024</t>
  </si>
  <si>
    <t>28-12-2024</t>
  </si>
  <si>
    <t>02-04-2024</t>
  </si>
  <si>
    <t>08-01-2024</t>
  </si>
  <si>
    <t>C234</t>
  </si>
  <si>
    <t>10-01-2024</t>
  </si>
  <si>
    <t>11-07-2024</t>
  </si>
  <si>
    <t>13-07-2024</t>
  </si>
  <si>
    <t>18-05-2024</t>
  </si>
  <si>
    <t>C259</t>
  </si>
  <si>
    <t>18-06-2024</t>
  </si>
  <si>
    <t>03-04-2024</t>
  </si>
  <si>
    <t>27-02-2024</t>
  </si>
  <si>
    <t>C166</t>
  </si>
  <si>
    <t>C286</t>
  </si>
  <si>
    <t>25-11-2024</t>
  </si>
  <si>
    <t>C339</t>
  </si>
  <si>
    <t>C112</t>
  </si>
  <si>
    <t>15-02-2024</t>
  </si>
  <si>
    <t>07-10-2024</t>
  </si>
  <si>
    <t>C233</t>
  </si>
  <si>
    <t>24-02-2024</t>
  </si>
  <si>
    <t>29-06-2024</t>
  </si>
  <si>
    <t>C243</t>
  </si>
  <si>
    <t>28-01-2024</t>
  </si>
  <si>
    <t>C292</t>
  </si>
  <si>
    <t>13-04-2024</t>
  </si>
  <si>
    <t>C258</t>
  </si>
  <si>
    <t>C140</t>
  </si>
  <si>
    <t>03-07-2024</t>
  </si>
  <si>
    <t>C231</t>
  </si>
  <si>
    <t>02-10-2024</t>
  </si>
  <si>
    <t>C309</t>
  </si>
  <si>
    <t>C122</t>
  </si>
  <si>
    <t>23-03-2024</t>
  </si>
  <si>
    <t>01-07-2024</t>
  </si>
  <si>
    <t>C249</t>
  </si>
  <si>
    <t>06-09-2024</t>
  </si>
  <si>
    <t>03-10-2024</t>
  </si>
  <si>
    <t>C340</t>
  </si>
  <si>
    <t>22-09-2024</t>
  </si>
  <si>
    <t>20-11-2024</t>
  </si>
  <si>
    <t>21-09-2024</t>
  </si>
  <si>
    <t>C164</t>
  </si>
  <si>
    <t>C192</t>
  </si>
  <si>
    <t>03-11-2024</t>
  </si>
  <si>
    <t>C136</t>
  </si>
  <si>
    <t>20-02-2024</t>
  </si>
  <si>
    <t>C208</t>
  </si>
  <si>
    <t>06-04-2024</t>
  </si>
  <si>
    <t>C167</t>
  </si>
  <si>
    <t>C240</t>
  </si>
  <si>
    <t>21-10-2024</t>
  </si>
  <si>
    <t>C279</t>
  </si>
  <si>
    <t>12-11-2024</t>
  </si>
  <si>
    <t>C191</t>
  </si>
  <si>
    <t>03-09-2024</t>
  </si>
  <si>
    <t>23-08-2024</t>
  </si>
  <si>
    <t>C247</t>
  </si>
  <si>
    <t>C141</t>
  </si>
  <si>
    <t>17-04-2024</t>
  </si>
  <si>
    <t>04-06-2024</t>
  </si>
  <si>
    <t>C102</t>
  </si>
  <si>
    <t>01-09-2024</t>
  </si>
  <si>
    <t>C176</t>
  </si>
  <si>
    <t>C215</t>
  </si>
  <si>
    <t>C348</t>
  </si>
  <si>
    <t>02-03-2024</t>
  </si>
  <si>
    <t>12-09-2024</t>
  </si>
  <si>
    <t>C280</t>
  </si>
  <si>
    <t>C322</t>
  </si>
  <si>
    <t>C287</t>
  </si>
  <si>
    <t>01-12-2024</t>
  </si>
  <si>
    <t>02-07-2024</t>
  </si>
  <si>
    <t>C272</t>
  </si>
  <si>
    <t>10-03-2024</t>
  </si>
  <si>
    <t>C223</t>
  </si>
  <si>
    <t>20-03-2024</t>
  </si>
  <si>
    <t>24-06-2024</t>
  </si>
  <si>
    <t>C277</t>
  </si>
  <si>
    <t>C169</t>
  </si>
  <si>
    <t>19-06-2024</t>
  </si>
  <si>
    <t>C238</t>
  </si>
  <si>
    <t>18-03-2024</t>
  </si>
  <si>
    <t>28-04-2024</t>
  </si>
  <si>
    <t>04-04-2024</t>
  </si>
  <si>
    <t>18-12-2024</t>
  </si>
  <si>
    <t>31-10-2024</t>
  </si>
  <si>
    <t>06-08-2024</t>
  </si>
  <si>
    <t>C315</t>
  </si>
  <si>
    <t>26-09-2024</t>
  </si>
  <si>
    <t>09-04-2024</t>
  </si>
  <si>
    <t>28-02-2024</t>
  </si>
  <si>
    <t>03-02-2024</t>
  </si>
  <si>
    <t>C229</t>
  </si>
  <si>
    <t>03-01-2024</t>
  </si>
  <si>
    <t>09-12-2024</t>
  </si>
  <si>
    <t>C130</t>
  </si>
  <si>
    <t>15-07-2024</t>
  </si>
  <si>
    <t>25-07-2024</t>
  </si>
  <si>
    <t>26-02-2024</t>
  </si>
  <si>
    <t>17-05-2024</t>
  </si>
  <si>
    <t>13-03-2024</t>
  </si>
  <si>
    <t>15-10-2024</t>
  </si>
  <si>
    <t>C156</t>
  </si>
  <si>
    <t>02-11-2024</t>
  </si>
  <si>
    <t>03-03-2024</t>
  </si>
  <si>
    <t>07-09-2024</t>
  </si>
  <si>
    <t>17-03-2024</t>
  </si>
  <si>
    <t>01-08-2024</t>
  </si>
  <si>
    <t>11-09-2024</t>
  </si>
  <si>
    <t>31-01-2024</t>
  </si>
  <si>
    <t>26-12-2024</t>
  </si>
  <si>
    <t>C303</t>
  </si>
  <si>
    <t>26-08-2024</t>
  </si>
  <si>
    <t>C345</t>
  </si>
  <si>
    <t>C105</t>
  </si>
  <si>
    <t>26-05-2024</t>
  </si>
  <si>
    <t>C146</t>
  </si>
  <si>
    <t>C194</t>
  </si>
  <si>
    <t>C144</t>
  </si>
  <si>
    <t>04-03-2024</t>
  </si>
  <si>
    <t>24-03-2024</t>
  </si>
  <si>
    <t>19-02-2024</t>
  </si>
  <si>
    <t>C150</t>
  </si>
  <si>
    <t>23-10-2024</t>
  </si>
  <si>
    <t>17-12-2024</t>
  </si>
  <si>
    <t>16-01-2024</t>
  </si>
  <si>
    <t>14-11-2024</t>
  </si>
  <si>
    <t>19-01-2024</t>
  </si>
  <si>
    <t>C108</t>
  </si>
  <si>
    <t>27-06-2024</t>
  </si>
  <si>
    <t>19-05-2024</t>
  </si>
  <si>
    <t>15-01-2024</t>
  </si>
  <si>
    <t>15-03-2024</t>
  </si>
  <si>
    <t>19-11-2024</t>
  </si>
  <si>
    <t>09-03-2024</t>
  </si>
  <si>
    <t>29-08-2024</t>
  </si>
  <si>
    <t>08-03-2024</t>
  </si>
  <si>
    <t>17-09-2024</t>
  </si>
  <si>
    <t>C331</t>
  </si>
  <si>
    <t>28-03-2024</t>
  </si>
  <si>
    <t>C256</t>
  </si>
  <si>
    <t>29-05-2024</t>
  </si>
  <si>
    <t>C327</t>
  </si>
  <si>
    <t>31-08-2024</t>
  </si>
  <si>
    <t>01-01-2024</t>
  </si>
  <si>
    <t>23-12-2024</t>
  </si>
  <si>
    <t>15-11-2024</t>
  </si>
  <si>
    <t>06-01-2024</t>
  </si>
  <si>
    <t>10-10-2024</t>
  </si>
  <si>
    <t>C232</t>
  </si>
  <si>
    <t>18-10-2024</t>
  </si>
  <si>
    <t>30-01-2024</t>
  </si>
  <si>
    <t>12-03-2024</t>
  </si>
  <si>
    <t>C119</t>
  </si>
  <si>
    <t>C337</t>
  </si>
  <si>
    <t>08-04-2024</t>
  </si>
  <si>
    <t>29-03-2024</t>
  </si>
  <si>
    <t>28-11-2024</t>
  </si>
  <si>
    <t>07-12-2024</t>
  </si>
  <si>
    <t>08-09-2024</t>
  </si>
  <si>
    <t>28-07-2024</t>
  </si>
  <si>
    <t>C326</t>
  </si>
  <si>
    <t>07-01-2024</t>
  </si>
  <si>
    <t>06-12-2024</t>
  </si>
  <si>
    <t>C202</t>
  </si>
  <si>
    <t>30-11-2024</t>
  </si>
  <si>
    <t>C137</t>
  </si>
  <si>
    <t>10-04-2024</t>
  </si>
  <si>
    <t>25-08-2024</t>
  </si>
  <si>
    <t>C110</t>
  </si>
  <si>
    <t>09-09-2024</t>
  </si>
  <si>
    <t>27-01-2024</t>
  </si>
  <si>
    <t>26-06-2024</t>
  </si>
  <si>
    <t>02-01-2024</t>
  </si>
  <si>
    <t>26-04-2024</t>
  </si>
  <si>
    <t>C338</t>
  </si>
  <si>
    <t>C298</t>
  </si>
  <si>
    <t>C172</t>
  </si>
  <si>
    <t>01-03-2024</t>
  </si>
  <si>
    <t>13-02-2024</t>
  </si>
  <si>
    <t>24-10-2024</t>
  </si>
  <si>
    <t>10-12-2024</t>
  </si>
  <si>
    <t>01-10-2024</t>
  </si>
  <si>
    <t>18-02-2024</t>
  </si>
  <si>
    <t>17-10-2024</t>
  </si>
  <si>
    <t>29-11-2024</t>
  </si>
  <si>
    <t>07-05-2024</t>
  </si>
  <si>
    <t>Unknown</t>
  </si>
  <si>
    <t>Month</t>
  </si>
  <si>
    <t>Total Revenue</t>
  </si>
  <si>
    <t>Total Orders</t>
  </si>
  <si>
    <t>Average Order Value</t>
  </si>
  <si>
    <t>KPI</t>
  </si>
  <si>
    <t>Value</t>
  </si>
  <si>
    <t>Row Labels</t>
  </si>
  <si>
    <t>Sum of Revenue</t>
  </si>
  <si>
    <t>Jan</t>
  </si>
  <si>
    <t>Feb</t>
  </si>
  <si>
    <t>Mar</t>
  </si>
  <si>
    <t>Apr</t>
  </si>
  <si>
    <t>May</t>
  </si>
  <si>
    <t>Jun</t>
  </si>
  <si>
    <t>Jul</t>
  </si>
  <si>
    <t>Aug</t>
  </si>
  <si>
    <t>Sep</t>
  </si>
  <si>
    <t>Oct</t>
  </si>
  <si>
    <t>Nov</t>
  </si>
  <si>
    <t>Dec</t>
  </si>
  <si>
    <t>KEY INSIGHTS</t>
  </si>
  <si>
    <t>• East region contributes the highest revenue among all regions.</t>
  </si>
  <si>
    <t>• Electronics category generates the largest revenue share.</t>
  </si>
  <si>
    <t>• Football is the top-performing product.</t>
  </si>
  <si>
    <t>BUSINESS RECOMMENDATIONS</t>
  </si>
  <si>
    <t>• Sales peak in September indicating possible seasonal demand.</t>
  </si>
  <si>
    <t>• Total revenue generated: 9.43M across 1200 orders</t>
  </si>
  <si>
    <t>• Increase marketing investment in the East region to maximize revenue growth.</t>
  </si>
  <si>
    <t>• Focus promotions and inventory planning on Electronics products.</t>
  </si>
  <si>
    <t xml:space="preserve">
• Maintain strong stock levels for Football due to high demand.</t>
  </si>
  <si>
    <t xml:space="preserve">
• Prepare marketing campaigns and inventory ahead of September to capture seasonal demand.</t>
  </si>
  <si>
    <t>KEY INSIGHTS &amp; BUSINESS RECOMMENDATIONS</t>
  </si>
  <si>
    <t>E-commerce Sales &amp; Revenue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</si>
</sst>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b/>
      <sz val="11"/>
      <name val="Calibri"/>
      <family val="2"/>
    </font>
    <font>
      <b/>
      <sz val="26"/>
      <color theme="1"/>
      <name val="Calibri"/>
      <family val="2"/>
      <scheme val="minor"/>
    </font>
    <font>
      <b/>
      <sz val="11"/>
      <color theme="1"/>
      <name val="Calibri"/>
      <family val="2"/>
      <scheme val="minor"/>
    </font>
    <font>
      <b/>
      <sz val="12"/>
      <color theme="1"/>
      <name val="Calibri"/>
      <family val="2"/>
      <scheme val="minor"/>
    </font>
    <font>
      <b/>
      <sz val="16"/>
      <color theme="1"/>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8" tint="0.39997558519241921"/>
        <bgColor indexed="64"/>
      </patternFill>
    </fill>
    <fill>
      <patternFill patternType="solid">
        <fgColor theme="2"/>
        <bgColor indexed="64"/>
      </patternFill>
    </fill>
    <fill>
      <patternFill patternType="solid">
        <fgColor theme="8"/>
        <bgColor indexed="64"/>
      </patternFill>
    </fill>
  </fills>
  <borders count="3">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0" fillId="2" borderId="0" xfId="0" applyFill="1"/>
    <xf numFmtId="0" fontId="0" fillId="4" borderId="0" xfId="0" applyFill="1"/>
    <xf numFmtId="0" fontId="4" fillId="4" borderId="0" xfId="0" applyFont="1" applyFill="1"/>
    <xf numFmtId="0" fontId="6" fillId="5" borderId="0" xfId="0" applyFont="1" applyFill="1"/>
    <xf numFmtId="0" fontId="0" fillId="5" borderId="0" xfId="0" applyFill="1"/>
    <xf numFmtId="0" fontId="5" fillId="5" borderId="0" xfId="0" applyFont="1" applyFill="1"/>
    <xf numFmtId="0" fontId="3" fillId="3" borderId="2" xfId="0" applyFont="1" applyFill="1" applyBorder="1" applyAlignment="1">
      <alignment horizontal="center" vertical="center"/>
    </xf>
  </cellXfs>
  <cellStyles count="1">
    <cellStyle name="Normal" xfId="0" builtinId="0"/>
  </cellStyles>
  <dxfs count="7">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Revenue Dashboard.xlsx]Regions!PivotTable1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Regions!$A$4:$A$8</c:f>
              <c:strCache>
                <c:ptCount val="5"/>
                <c:pt idx="0">
                  <c:v>East</c:v>
                </c:pt>
                <c:pt idx="1">
                  <c:v>South</c:v>
                </c:pt>
                <c:pt idx="2">
                  <c:v>West</c:v>
                </c:pt>
                <c:pt idx="3">
                  <c:v>North</c:v>
                </c:pt>
                <c:pt idx="4">
                  <c:v>Unknown</c:v>
                </c:pt>
              </c:strCache>
            </c:strRef>
          </c:cat>
          <c:val>
            <c:numRef>
              <c:f>Regions!$B$4:$B$8</c:f>
              <c:numCache>
                <c:formatCode>General</c:formatCode>
                <c:ptCount val="5"/>
                <c:pt idx="0">
                  <c:v>2608211</c:v>
                </c:pt>
                <c:pt idx="1">
                  <c:v>2318872</c:v>
                </c:pt>
                <c:pt idx="2">
                  <c:v>2255440</c:v>
                </c:pt>
                <c:pt idx="3">
                  <c:v>2074590</c:v>
                </c:pt>
                <c:pt idx="4">
                  <c:v>176752</c:v>
                </c:pt>
              </c:numCache>
            </c:numRef>
          </c:val>
          <c:extLst>
            <c:ext xmlns:c16="http://schemas.microsoft.com/office/drawing/2014/chart" uri="{C3380CC4-5D6E-409C-BE32-E72D297353CC}">
              <c16:uniqueId val="{00000000-05E9-4B63-9C88-160144363253}"/>
            </c:ext>
          </c:extLst>
        </c:ser>
        <c:dLbls>
          <c:dLblPos val="outEnd"/>
          <c:showLegendKey val="0"/>
          <c:showVal val="1"/>
          <c:showCatName val="0"/>
          <c:showSerName val="0"/>
          <c:showPercent val="0"/>
          <c:showBubbleSize val="0"/>
        </c:dLbls>
        <c:gapWidth val="219"/>
        <c:overlap val="-27"/>
        <c:axId val="1461959647"/>
        <c:axId val="1461958687"/>
      </c:barChart>
      <c:catAx>
        <c:axId val="146195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958687"/>
        <c:crosses val="autoZero"/>
        <c:auto val="1"/>
        <c:lblAlgn val="ctr"/>
        <c:lblOffset val="100"/>
        <c:noMultiLvlLbl val="0"/>
      </c:catAx>
      <c:valAx>
        <c:axId val="1461958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95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Revenue Dashboard.xlsx]Categories!PivotTable2</c:name>
    <c:fmtId val="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Share by Category</a:t>
            </a:r>
            <a:endParaRPr lang="en-IN"/>
          </a:p>
        </c:rich>
      </c:tx>
      <c:layout>
        <c:manualLayout>
          <c:xMode val="edge"/>
          <c:yMode val="edge"/>
          <c:x val="1.3055555555555524E-3"/>
          <c:y val="1.851851851851851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Categories!$B$3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414-49D3-95F4-F0D230BF64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2414-49D3-95F4-F0D230BF64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414-49D3-95F4-F0D230BF64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2414-49D3-95F4-F0D230BF6499}"/>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Categories!$A$4:$A$7</c:f>
              <c:strCache>
                <c:ptCount val="4"/>
                <c:pt idx="0">
                  <c:v>Electronics</c:v>
                </c:pt>
                <c:pt idx="1">
                  <c:v>Sports</c:v>
                </c:pt>
                <c:pt idx="2">
                  <c:v>Clothing</c:v>
                </c:pt>
                <c:pt idx="3">
                  <c:v>Home</c:v>
                </c:pt>
              </c:strCache>
            </c:strRef>
          </c:cat>
          <c:val>
            <c:numRef>
              <c:f>Categories!$B$4:$B$7</c:f>
              <c:numCache>
                <c:formatCode>General</c:formatCode>
                <c:ptCount val="4"/>
                <c:pt idx="0">
                  <c:v>2427621</c:v>
                </c:pt>
                <c:pt idx="1">
                  <c:v>2413523</c:v>
                </c:pt>
                <c:pt idx="2">
                  <c:v>2358815</c:v>
                </c:pt>
                <c:pt idx="3">
                  <c:v>2233906</c:v>
                </c:pt>
              </c:numCache>
            </c:numRef>
          </c:val>
          <c:extLst>
            <c:ext xmlns:c16="http://schemas.microsoft.com/office/drawing/2014/chart" uri="{C3380CC4-5D6E-409C-BE32-E72D297353CC}">
              <c16:uniqueId val="{00000000-2414-49D3-95F4-F0D230BF6499}"/>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Revenue Dashboard.xlsx]Products!PivotTable3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Revenue</a:t>
            </a:r>
            <a:endParaRPr lang="en-US"/>
          </a:p>
        </c:rich>
      </c:tx>
      <c:layout>
        <c:manualLayout>
          <c:xMode val="edge"/>
          <c:yMode val="edge"/>
          <c:x val="0.23226377952755906"/>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Products!$A$4:$A$8</c:f>
              <c:strCache>
                <c:ptCount val="5"/>
                <c:pt idx="0">
                  <c:v>Football</c:v>
                </c:pt>
                <c:pt idx="1">
                  <c:v>Mouse</c:v>
                </c:pt>
                <c:pt idx="2">
                  <c:v>Cricket Bat</c:v>
                </c:pt>
                <c:pt idx="3">
                  <c:v>Headphones</c:v>
                </c:pt>
                <c:pt idx="4">
                  <c:v>Bottle</c:v>
                </c:pt>
              </c:strCache>
            </c:strRef>
          </c:cat>
          <c:val>
            <c:numRef>
              <c:f>Products!$B$4:$B$8</c:f>
              <c:numCache>
                <c:formatCode>General</c:formatCode>
                <c:ptCount val="5"/>
                <c:pt idx="0">
                  <c:v>554397</c:v>
                </c:pt>
                <c:pt idx="1">
                  <c:v>549607</c:v>
                </c:pt>
                <c:pt idx="2">
                  <c:v>522946</c:v>
                </c:pt>
                <c:pt idx="3">
                  <c:v>509555</c:v>
                </c:pt>
                <c:pt idx="4">
                  <c:v>498613</c:v>
                </c:pt>
              </c:numCache>
            </c:numRef>
          </c:val>
          <c:extLst>
            <c:ext xmlns:c16="http://schemas.microsoft.com/office/drawing/2014/chart" uri="{C3380CC4-5D6E-409C-BE32-E72D297353CC}">
              <c16:uniqueId val="{00000000-7918-4B9B-86F9-12490C2A619A}"/>
            </c:ext>
          </c:extLst>
        </c:ser>
        <c:dLbls>
          <c:dLblPos val="outEnd"/>
          <c:showLegendKey val="0"/>
          <c:showVal val="1"/>
          <c:showCatName val="0"/>
          <c:showSerName val="0"/>
          <c:showPercent val="0"/>
          <c:showBubbleSize val="0"/>
        </c:dLbls>
        <c:gapWidth val="182"/>
        <c:axId val="1179203135"/>
        <c:axId val="1179201695"/>
      </c:barChart>
      <c:catAx>
        <c:axId val="117920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201695"/>
        <c:crosses val="autoZero"/>
        <c:auto val="1"/>
        <c:lblAlgn val="ctr"/>
        <c:lblOffset val="100"/>
        <c:noMultiLvlLbl val="0"/>
      </c:catAx>
      <c:valAx>
        <c:axId val="1179201695"/>
        <c:scaling>
          <c:orientation val="minMax"/>
        </c:scaling>
        <c:delete val="1"/>
        <c:axPos val="b"/>
        <c:numFmt formatCode="General" sourceLinked="1"/>
        <c:majorTickMark val="none"/>
        <c:minorTickMark val="none"/>
        <c:tickLblPos val="nextTo"/>
        <c:crossAx val="117920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Revenue Dashboard.xlsx]Monthly!PivotTable4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Monthly!$B$4:$B$15</c:f>
              <c:numCache>
                <c:formatCode>General</c:formatCode>
                <c:ptCount val="12"/>
                <c:pt idx="0">
                  <c:v>744377</c:v>
                </c:pt>
                <c:pt idx="1">
                  <c:v>838313</c:v>
                </c:pt>
                <c:pt idx="2">
                  <c:v>657380</c:v>
                </c:pt>
                <c:pt idx="3">
                  <c:v>1002372</c:v>
                </c:pt>
                <c:pt idx="4">
                  <c:v>695320</c:v>
                </c:pt>
                <c:pt idx="5">
                  <c:v>859510</c:v>
                </c:pt>
                <c:pt idx="6">
                  <c:v>691687</c:v>
                </c:pt>
                <c:pt idx="7">
                  <c:v>768064</c:v>
                </c:pt>
                <c:pt idx="8">
                  <c:v>1022361</c:v>
                </c:pt>
                <c:pt idx="9">
                  <c:v>698188</c:v>
                </c:pt>
                <c:pt idx="10">
                  <c:v>809656</c:v>
                </c:pt>
                <c:pt idx="11">
                  <c:v>646637</c:v>
                </c:pt>
              </c:numCache>
            </c:numRef>
          </c:val>
          <c:smooth val="0"/>
          <c:extLst>
            <c:ext xmlns:c16="http://schemas.microsoft.com/office/drawing/2014/chart" uri="{C3380CC4-5D6E-409C-BE32-E72D297353CC}">
              <c16:uniqueId val="{00000000-A367-48F8-BF8D-5E0727A351E9}"/>
            </c:ext>
          </c:extLst>
        </c:ser>
        <c:dLbls>
          <c:showLegendKey val="0"/>
          <c:showVal val="0"/>
          <c:showCatName val="0"/>
          <c:showSerName val="0"/>
          <c:showPercent val="0"/>
          <c:showBubbleSize val="0"/>
        </c:dLbls>
        <c:marker val="1"/>
        <c:smooth val="0"/>
        <c:axId val="1184549391"/>
        <c:axId val="1184549871"/>
      </c:lineChart>
      <c:catAx>
        <c:axId val="118454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549871"/>
        <c:crosses val="autoZero"/>
        <c:auto val="1"/>
        <c:lblAlgn val="ctr"/>
        <c:lblOffset val="100"/>
        <c:noMultiLvlLbl val="0"/>
      </c:catAx>
      <c:valAx>
        <c:axId val="1184549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54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Revenue Dashboard.xlsx]Regions!PivotTable1</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Revenue</a:t>
            </a:r>
            <a:r>
              <a:rPr lang="en-IN" b="1" baseline="0"/>
              <a:t> by Region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Regions!$B$3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Regions!$A$4:$A$8</c:f>
              <c:strCache>
                <c:ptCount val="5"/>
                <c:pt idx="0">
                  <c:v>East</c:v>
                </c:pt>
                <c:pt idx="1">
                  <c:v>South</c:v>
                </c:pt>
                <c:pt idx="2">
                  <c:v>West</c:v>
                </c:pt>
                <c:pt idx="3">
                  <c:v>North</c:v>
                </c:pt>
                <c:pt idx="4">
                  <c:v>Unknown</c:v>
                </c:pt>
              </c:strCache>
            </c:strRef>
          </c:cat>
          <c:val>
            <c:numRef>
              <c:f>Regions!$B$4:$B$8</c:f>
              <c:numCache>
                <c:formatCode>General</c:formatCode>
                <c:ptCount val="5"/>
                <c:pt idx="0">
                  <c:v>2608211</c:v>
                </c:pt>
                <c:pt idx="1">
                  <c:v>2318872</c:v>
                </c:pt>
                <c:pt idx="2">
                  <c:v>2255440</c:v>
                </c:pt>
                <c:pt idx="3">
                  <c:v>2074590</c:v>
                </c:pt>
                <c:pt idx="4">
                  <c:v>176752</c:v>
                </c:pt>
              </c:numCache>
            </c:numRef>
          </c:val>
          <c:extLst>
            <c:ext xmlns:c16="http://schemas.microsoft.com/office/drawing/2014/chart" uri="{C3380CC4-5D6E-409C-BE32-E72D297353CC}">
              <c16:uniqueId val="{00000000-8CDE-41EE-8DB7-837B55B01EF9}"/>
            </c:ext>
          </c:extLst>
        </c:ser>
        <c:dLbls>
          <c:dLblPos val="outEnd"/>
          <c:showLegendKey val="0"/>
          <c:showVal val="1"/>
          <c:showCatName val="0"/>
          <c:showSerName val="0"/>
          <c:showPercent val="0"/>
          <c:showBubbleSize val="0"/>
        </c:dLbls>
        <c:gapWidth val="219"/>
        <c:overlap val="-27"/>
        <c:axId val="1461959647"/>
        <c:axId val="1461958687"/>
      </c:barChart>
      <c:catAx>
        <c:axId val="146195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461958687"/>
        <c:crosses val="autoZero"/>
        <c:auto val="1"/>
        <c:lblAlgn val="ctr"/>
        <c:lblOffset val="100"/>
        <c:noMultiLvlLbl val="0"/>
      </c:catAx>
      <c:valAx>
        <c:axId val="1461958687"/>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1959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Revenue Dashboard.xlsx]Categories!PivotTable2</c:name>
    <c:fmtId val="10"/>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IN" b="1"/>
              <a:t>Revenue</a:t>
            </a:r>
            <a:r>
              <a:rPr lang="en-IN" b="1" baseline="0"/>
              <a:t> Share by Category</a:t>
            </a:r>
            <a:endParaRPr lang="en-IN" b="1"/>
          </a:p>
        </c:rich>
      </c:tx>
      <c:layout>
        <c:manualLayout>
          <c:xMode val="edge"/>
          <c:yMode val="edge"/>
          <c:x val="0.18345481404988312"/>
          <c:y val="4.28353929068475E-3"/>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Categories!$B$3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20-4F1F-BA8A-C24F9881EBC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20-4F1F-BA8A-C24F9881EBC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20-4F1F-BA8A-C24F9881EBC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20-4F1F-BA8A-C24F9881EBC3}"/>
              </c:ext>
            </c:extLst>
          </c:dPt>
          <c:dLbls>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Categories!$A$4:$A$7</c:f>
              <c:strCache>
                <c:ptCount val="4"/>
                <c:pt idx="0">
                  <c:v>Electronics</c:v>
                </c:pt>
                <c:pt idx="1">
                  <c:v>Sports</c:v>
                </c:pt>
                <c:pt idx="2">
                  <c:v>Clothing</c:v>
                </c:pt>
                <c:pt idx="3">
                  <c:v>Home</c:v>
                </c:pt>
              </c:strCache>
            </c:strRef>
          </c:cat>
          <c:val>
            <c:numRef>
              <c:f>Categories!$B$4:$B$7</c:f>
              <c:numCache>
                <c:formatCode>General</c:formatCode>
                <c:ptCount val="4"/>
                <c:pt idx="0">
                  <c:v>2427621</c:v>
                </c:pt>
                <c:pt idx="1">
                  <c:v>2413523</c:v>
                </c:pt>
                <c:pt idx="2">
                  <c:v>2358815</c:v>
                </c:pt>
                <c:pt idx="3">
                  <c:v>2233906</c:v>
                </c:pt>
              </c:numCache>
            </c:numRef>
          </c:val>
          <c:extLst>
            <c:ext xmlns:c16="http://schemas.microsoft.com/office/drawing/2014/chart" uri="{C3380CC4-5D6E-409C-BE32-E72D297353CC}">
              <c16:uniqueId val="{00000008-4920-4F1F-BA8A-C24F9881EBC3}"/>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Revenue Dashboard.xlsx]Products!PivotTable3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Top</a:t>
            </a:r>
            <a:r>
              <a:rPr lang="en-US" b="1" baseline="0"/>
              <a:t> Products By Revenue</a:t>
            </a:r>
            <a:endParaRPr lang="en-US" b="1"/>
          </a:p>
        </c:rich>
      </c:tx>
      <c:layout>
        <c:manualLayout>
          <c:xMode val="edge"/>
          <c:yMode val="edge"/>
          <c:x val="0.23226377952755906"/>
          <c:y val="1.851851851851851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clustered"/>
        <c:varyColors val="0"/>
        <c:ser>
          <c:idx val="0"/>
          <c:order val="0"/>
          <c:tx>
            <c:strRef>
              <c:f>Products!$B$3</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Products!$A$4:$A$8</c:f>
              <c:strCache>
                <c:ptCount val="5"/>
                <c:pt idx="0">
                  <c:v>Football</c:v>
                </c:pt>
                <c:pt idx="1">
                  <c:v>Mouse</c:v>
                </c:pt>
                <c:pt idx="2">
                  <c:v>Cricket Bat</c:v>
                </c:pt>
                <c:pt idx="3">
                  <c:v>Headphones</c:v>
                </c:pt>
                <c:pt idx="4">
                  <c:v>Bottle</c:v>
                </c:pt>
              </c:strCache>
            </c:strRef>
          </c:cat>
          <c:val>
            <c:numRef>
              <c:f>Products!$B$4:$B$8</c:f>
              <c:numCache>
                <c:formatCode>General</c:formatCode>
                <c:ptCount val="5"/>
                <c:pt idx="0">
                  <c:v>554397</c:v>
                </c:pt>
                <c:pt idx="1">
                  <c:v>549607</c:v>
                </c:pt>
                <c:pt idx="2">
                  <c:v>522946</c:v>
                </c:pt>
                <c:pt idx="3">
                  <c:v>509555</c:v>
                </c:pt>
                <c:pt idx="4">
                  <c:v>498613</c:v>
                </c:pt>
              </c:numCache>
            </c:numRef>
          </c:val>
          <c:extLst>
            <c:ext xmlns:c16="http://schemas.microsoft.com/office/drawing/2014/chart" uri="{C3380CC4-5D6E-409C-BE32-E72D297353CC}">
              <c16:uniqueId val="{00000000-780D-432C-A17B-5C9965F74934}"/>
            </c:ext>
          </c:extLst>
        </c:ser>
        <c:dLbls>
          <c:dLblPos val="outEnd"/>
          <c:showLegendKey val="0"/>
          <c:showVal val="1"/>
          <c:showCatName val="0"/>
          <c:showSerName val="0"/>
          <c:showPercent val="0"/>
          <c:showBubbleSize val="0"/>
        </c:dLbls>
        <c:gapWidth val="182"/>
        <c:axId val="1179203135"/>
        <c:axId val="1179201695"/>
      </c:barChart>
      <c:catAx>
        <c:axId val="1179203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79201695"/>
        <c:crosses val="autoZero"/>
        <c:auto val="1"/>
        <c:lblAlgn val="ctr"/>
        <c:lblOffset val="100"/>
        <c:noMultiLvlLbl val="0"/>
      </c:catAx>
      <c:valAx>
        <c:axId val="1179201695"/>
        <c:scaling>
          <c:orientation val="minMax"/>
        </c:scaling>
        <c:delete val="1"/>
        <c:axPos val="b"/>
        <c:numFmt formatCode="General" sourceLinked="1"/>
        <c:majorTickMark val="none"/>
        <c:minorTickMark val="none"/>
        <c:tickLblPos val="nextTo"/>
        <c:crossAx val="117920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&amp; Revenue Dashboard.xlsx]Monthly!PivotTable4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Monthly</a:t>
            </a:r>
            <a:r>
              <a:rPr lang="en-IN" b="1" baseline="0"/>
              <a:t> Revenue Trend</a:t>
            </a:r>
            <a:endParaRPr lang="en-IN" b="1"/>
          </a:p>
        </c:rich>
      </c:tx>
      <c:layout>
        <c:manualLayout>
          <c:xMode val="edge"/>
          <c:yMode val="edge"/>
          <c:x val="0.41637024430891323"/>
          <c:y val="3.921568627450980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Monthly!$B$3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Monthly!$B$4:$B$15</c:f>
              <c:numCache>
                <c:formatCode>General</c:formatCode>
                <c:ptCount val="12"/>
                <c:pt idx="0">
                  <c:v>744377</c:v>
                </c:pt>
                <c:pt idx="1">
                  <c:v>838313</c:v>
                </c:pt>
                <c:pt idx="2">
                  <c:v>657380</c:v>
                </c:pt>
                <c:pt idx="3">
                  <c:v>1002372</c:v>
                </c:pt>
                <c:pt idx="4">
                  <c:v>695320</c:v>
                </c:pt>
                <c:pt idx="5">
                  <c:v>859510</c:v>
                </c:pt>
                <c:pt idx="6">
                  <c:v>691687</c:v>
                </c:pt>
                <c:pt idx="7">
                  <c:v>768064</c:v>
                </c:pt>
                <c:pt idx="8">
                  <c:v>1022361</c:v>
                </c:pt>
                <c:pt idx="9">
                  <c:v>698188</c:v>
                </c:pt>
                <c:pt idx="10">
                  <c:v>809656</c:v>
                </c:pt>
                <c:pt idx="11">
                  <c:v>646637</c:v>
                </c:pt>
              </c:numCache>
            </c:numRef>
          </c:val>
          <c:smooth val="0"/>
          <c:extLst>
            <c:ext xmlns:c16="http://schemas.microsoft.com/office/drawing/2014/chart" uri="{C3380CC4-5D6E-409C-BE32-E72D297353CC}">
              <c16:uniqueId val="{00000000-E3C5-4F7A-9F05-42E219373F8A}"/>
            </c:ext>
          </c:extLst>
        </c:ser>
        <c:dLbls>
          <c:dLblPos val="b"/>
          <c:showLegendKey val="0"/>
          <c:showVal val="1"/>
          <c:showCatName val="0"/>
          <c:showSerName val="0"/>
          <c:showPercent val="0"/>
          <c:showBubbleSize val="0"/>
        </c:dLbls>
        <c:marker val="1"/>
        <c:smooth val="0"/>
        <c:axId val="1184549391"/>
        <c:axId val="1184549871"/>
      </c:lineChart>
      <c:catAx>
        <c:axId val="118454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184549871"/>
        <c:crosses val="autoZero"/>
        <c:auto val="1"/>
        <c:lblAlgn val="ctr"/>
        <c:lblOffset val="100"/>
        <c:noMultiLvlLbl val="0"/>
      </c:catAx>
      <c:valAx>
        <c:axId val="1184549871"/>
        <c:scaling>
          <c:orientation val="minMax"/>
        </c:scaling>
        <c:delete val="0"/>
        <c:axPos val="l"/>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454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541367</xdr:colOff>
      <xdr:row>0</xdr:row>
      <xdr:rowOff>160367</xdr:rowOff>
    </xdr:from>
    <xdr:to>
      <xdr:col>8</xdr:col>
      <xdr:colOff>49803</xdr:colOff>
      <xdr:row>4</xdr:row>
      <xdr:rowOff>44823</xdr:rowOff>
    </xdr:to>
    <xdr:sp macro="" textlink="">
      <xdr:nvSpPr>
        <xdr:cNvPr id="7" name="TextBox 6">
          <a:extLst>
            <a:ext uri="{FF2B5EF4-FFF2-40B4-BE49-F238E27FC236}">
              <a16:creationId xmlns:a16="http://schemas.microsoft.com/office/drawing/2014/main" id="{4D64C469-29F6-FD29-2659-53630B9ED083}"/>
            </a:ext>
          </a:extLst>
        </xdr:cNvPr>
        <xdr:cNvSpPr txBox="1"/>
      </xdr:nvSpPr>
      <xdr:spPr>
        <a:xfrm>
          <a:off x="4286622" y="160367"/>
          <a:ext cx="1331259" cy="621554"/>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Total Revenue</a:t>
          </a:r>
          <a:r>
            <a:rPr lang="en-IN" b="1">
              <a:effectLst/>
            </a:rPr>
            <a:t> </a:t>
          </a:r>
          <a:endParaRPr lang="en-IN" sz="1100" b="1" i="0" u="none" strike="noStrike">
            <a:solidFill>
              <a:schemeClr val="dk1"/>
            </a:solidFill>
            <a:effectLst/>
            <a:latin typeface="+mn-lt"/>
            <a:ea typeface="+mn-ea"/>
            <a:cs typeface="+mn-cs"/>
          </a:endParaRPr>
        </a:p>
        <a:p>
          <a:pPr algn="ctr"/>
          <a:r>
            <a:rPr lang="en-IN" sz="1100" b="0" i="0" u="none" strike="noStrike">
              <a:solidFill>
                <a:schemeClr val="dk1"/>
              </a:solidFill>
              <a:effectLst/>
              <a:latin typeface="+mn-lt"/>
              <a:ea typeface="+mn-ea"/>
              <a:cs typeface="+mn-cs"/>
            </a:rPr>
            <a:t>9,43,3864</a:t>
          </a:r>
          <a:endParaRPr lang="en-IN" sz="1100"/>
        </a:p>
      </xdr:txBody>
    </xdr:sp>
    <xdr:clientData/>
  </xdr:twoCellAnchor>
  <xdr:twoCellAnchor>
    <xdr:from>
      <xdr:col>5</xdr:col>
      <xdr:colOff>547844</xdr:colOff>
      <xdr:row>4</xdr:row>
      <xdr:rowOff>159373</xdr:rowOff>
    </xdr:from>
    <xdr:to>
      <xdr:col>8</xdr:col>
      <xdr:colOff>56280</xdr:colOff>
      <xdr:row>8</xdr:row>
      <xdr:rowOff>43829</xdr:rowOff>
    </xdr:to>
    <xdr:sp macro="" textlink="">
      <xdr:nvSpPr>
        <xdr:cNvPr id="13" name="TextBox 12">
          <a:extLst>
            <a:ext uri="{FF2B5EF4-FFF2-40B4-BE49-F238E27FC236}">
              <a16:creationId xmlns:a16="http://schemas.microsoft.com/office/drawing/2014/main" id="{9E50B345-122B-4143-8840-352EFBB87560}"/>
            </a:ext>
          </a:extLst>
        </xdr:cNvPr>
        <xdr:cNvSpPr txBox="1"/>
      </xdr:nvSpPr>
      <xdr:spPr>
        <a:xfrm>
          <a:off x="4293099" y="896471"/>
          <a:ext cx="1331259" cy="621554"/>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Total Orders</a:t>
          </a:r>
        </a:p>
        <a:p>
          <a:pPr algn="ctr"/>
          <a:r>
            <a:rPr lang="en-IN" sz="1100" b="0" i="0" u="none" strike="noStrike">
              <a:solidFill>
                <a:schemeClr val="dk1"/>
              </a:solidFill>
              <a:effectLst/>
              <a:latin typeface="+mn-lt"/>
              <a:ea typeface="+mn-ea"/>
              <a:cs typeface="+mn-cs"/>
            </a:rPr>
            <a:t>1200</a:t>
          </a:r>
          <a:endParaRPr lang="en-IN" sz="1100"/>
        </a:p>
      </xdr:txBody>
    </xdr:sp>
    <xdr:clientData/>
  </xdr:twoCellAnchor>
  <xdr:twoCellAnchor>
    <xdr:from>
      <xdr:col>5</xdr:col>
      <xdr:colOff>542863</xdr:colOff>
      <xdr:row>8</xdr:row>
      <xdr:rowOff>144432</xdr:rowOff>
    </xdr:from>
    <xdr:to>
      <xdr:col>8</xdr:col>
      <xdr:colOff>51299</xdr:colOff>
      <xdr:row>12</xdr:row>
      <xdr:rowOff>28888</xdr:rowOff>
    </xdr:to>
    <xdr:sp macro="" textlink="">
      <xdr:nvSpPr>
        <xdr:cNvPr id="14" name="TextBox 13">
          <a:extLst>
            <a:ext uri="{FF2B5EF4-FFF2-40B4-BE49-F238E27FC236}">
              <a16:creationId xmlns:a16="http://schemas.microsoft.com/office/drawing/2014/main" id="{8A8F0982-E00E-471F-A998-394EA4E5C32C}"/>
            </a:ext>
          </a:extLst>
        </xdr:cNvPr>
        <xdr:cNvSpPr txBox="1"/>
      </xdr:nvSpPr>
      <xdr:spPr>
        <a:xfrm>
          <a:off x="4288118" y="1618628"/>
          <a:ext cx="1331259" cy="621554"/>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chemeClr val="dk1"/>
              </a:solidFill>
              <a:effectLst/>
              <a:latin typeface="+mn-lt"/>
              <a:ea typeface="+mn-ea"/>
              <a:cs typeface="+mn-cs"/>
            </a:rPr>
            <a:t>Avg</a:t>
          </a:r>
          <a:r>
            <a:rPr lang="en-IN" sz="1100" b="1" i="0" u="none" strike="noStrike" baseline="0">
              <a:solidFill>
                <a:schemeClr val="dk1"/>
              </a:solidFill>
              <a:effectLst/>
              <a:latin typeface="+mn-lt"/>
              <a:ea typeface="+mn-ea"/>
              <a:cs typeface="+mn-cs"/>
            </a:rPr>
            <a:t> </a:t>
          </a:r>
          <a:r>
            <a:rPr lang="en-IN" sz="1100" b="1" i="0" u="none" strike="noStrike">
              <a:solidFill>
                <a:schemeClr val="dk1"/>
              </a:solidFill>
              <a:effectLst/>
              <a:latin typeface="+mn-lt"/>
              <a:ea typeface="+mn-ea"/>
              <a:cs typeface="+mn-cs"/>
            </a:rPr>
            <a:t>Order</a:t>
          </a:r>
          <a:r>
            <a:rPr lang="en-IN" sz="1100" b="1" i="0" u="none" strike="noStrike" baseline="0">
              <a:solidFill>
                <a:schemeClr val="dk1"/>
              </a:solidFill>
              <a:effectLst/>
              <a:latin typeface="+mn-lt"/>
              <a:ea typeface="+mn-ea"/>
              <a:cs typeface="+mn-cs"/>
            </a:rPr>
            <a:t> Value</a:t>
          </a:r>
          <a:endParaRPr lang="en-IN" sz="1100" b="1" i="0" u="none" strike="noStrike">
            <a:solidFill>
              <a:schemeClr val="dk1"/>
            </a:solidFill>
            <a:effectLst/>
            <a:latin typeface="+mn-lt"/>
            <a:ea typeface="+mn-ea"/>
            <a:cs typeface="+mn-cs"/>
          </a:endParaRPr>
        </a:p>
        <a:p>
          <a:pPr algn="ctr"/>
          <a:r>
            <a:rPr lang="en-IN" sz="1100" b="0" i="0" u="none" strike="noStrike">
              <a:solidFill>
                <a:schemeClr val="dk1"/>
              </a:solidFill>
              <a:effectLst/>
              <a:latin typeface="+mn-lt"/>
              <a:ea typeface="+mn-ea"/>
              <a:cs typeface="+mn-cs"/>
            </a:rPr>
            <a:t>7862</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323850</xdr:colOff>
      <xdr:row>3</xdr:row>
      <xdr:rowOff>152400</xdr:rowOff>
    </xdr:from>
    <xdr:to>
      <xdr:col>10</xdr:col>
      <xdr:colOff>19050</xdr:colOff>
      <xdr:row>18</xdr:row>
      <xdr:rowOff>133350</xdr:rowOff>
    </xdr:to>
    <xdr:graphicFrame macro="">
      <xdr:nvGraphicFramePr>
        <xdr:cNvPr id="2" name="Chart 1">
          <a:extLst>
            <a:ext uri="{FF2B5EF4-FFF2-40B4-BE49-F238E27FC236}">
              <a16:creationId xmlns:a16="http://schemas.microsoft.com/office/drawing/2014/main" id="{E91CABF5-99FD-BFE2-AEA4-9DB54F39B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388620</xdr:colOff>
      <xdr:row>0</xdr:row>
      <xdr:rowOff>102870</xdr:rowOff>
    </xdr:from>
    <xdr:to>
      <xdr:col>10</xdr:col>
      <xdr:colOff>83820</xdr:colOff>
      <xdr:row>15</xdr:row>
      <xdr:rowOff>102870</xdr:rowOff>
    </xdr:to>
    <xdr:graphicFrame macro="">
      <xdr:nvGraphicFramePr>
        <xdr:cNvPr id="2" name="Chart 1">
          <a:extLst>
            <a:ext uri="{FF2B5EF4-FFF2-40B4-BE49-F238E27FC236}">
              <a16:creationId xmlns:a16="http://schemas.microsoft.com/office/drawing/2014/main" id="{B5B7D67A-95D7-EE59-896F-4FCA8CD89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152400</xdr:colOff>
      <xdr:row>6</xdr:row>
      <xdr:rowOff>45720</xdr:rowOff>
    </xdr:from>
    <xdr:to>
      <xdr:col>11</xdr:col>
      <xdr:colOff>457200</xdr:colOff>
      <xdr:row>21</xdr:row>
      <xdr:rowOff>45720</xdr:rowOff>
    </xdr:to>
    <xdr:graphicFrame macro="">
      <xdr:nvGraphicFramePr>
        <xdr:cNvPr id="2" name="Chart 1">
          <a:extLst>
            <a:ext uri="{FF2B5EF4-FFF2-40B4-BE49-F238E27FC236}">
              <a16:creationId xmlns:a16="http://schemas.microsoft.com/office/drawing/2014/main" id="{B58756FF-7C24-9E23-FD94-413D3AB65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30480</xdr:colOff>
      <xdr:row>6</xdr:row>
      <xdr:rowOff>45720</xdr:rowOff>
    </xdr:from>
    <xdr:to>
      <xdr:col>11</xdr:col>
      <xdr:colOff>335280</xdr:colOff>
      <xdr:row>21</xdr:row>
      <xdr:rowOff>45720</xdr:rowOff>
    </xdr:to>
    <xdr:graphicFrame macro="">
      <xdr:nvGraphicFramePr>
        <xdr:cNvPr id="2" name="Chart 1">
          <a:extLst>
            <a:ext uri="{FF2B5EF4-FFF2-40B4-BE49-F238E27FC236}">
              <a16:creationId xmlns:a16="http://schemas.microsoft.com/office/drawing/2014/main" id="{C4F27E03-416A-EF1D-8E86-A8BBD51485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4</xdr:col>
      <xdr:colOff>0</xdr:colOff>
      <xdr:row>12</xdr:row>
      <xdr:rowOff>70657</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5C790DD2-80D6-4DFF-A205-778F672F1F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723900"/>
              <a:ext cx="2438400" cy="16994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76200</xdr:rowOff>
    </xdr:from>
    <xdr:to>
      <xdr:col>3</xdr:col>
      <xdr:colOff>592455</xdr:colOff>
      <xdr:row>21</xdr:row>
      <xdr:rowOff>17144</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3164B00C-A1B0-4EA7-8C07-D6DD55D3DE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609850"/>
              <a:ext cx="2421255" cy="1388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120650</xdr:rowOff>
    </xdr:from>
    <xdr:to>
      <xdr:col>3</xdr:col>
      <xdr:colOff>596900</xdr:colOff>
      <xdr:row>31</xdr:row>
      <xdr:rowOff>128270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F984FEE9-192A-4AE9-91EB-91E3836C4F6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4283075"/>
              <a:ext cx="2425700" cy="1636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390525</xdr:colOff>
      <xdr:row>2</xdr:row>
      <xdr:rowOff>171449</xdr:rowOff>
    </xdr:from>
    <xdr:to>
      <xdr:col>7</xdr:col>
      <xdr:colOff>121584</xdr:colOff>
      <xdr:row>8</xdr:row>
      <xdr:rowOff>28574</xdr:rowOff>
    </xdr:to>
    <xdr:sp macro="" textlink="">
      <xdr:nvSpPr>
        <xdr:cNvPr id="8" name="TextBox 7">
          <a:extLst>
            <a:ext uri="{FF2B5EF4-FFF2-40B4-BE49-F238E27FC236}">
              <a16:creationId xmlns:a16="http://schemas.microsoft.com/office/drawing/2014/main" id="{E605C924-6F37-4DED-81CD-2ADCAC276B8C}"/>
            </a:ext>
          </a:extLst>
        </xdr:cNvPr>
        <xdr:cNvSpPr txBox="1"/>
      </xdr:nvSpPr>
      <xdr:spPr>
        <a:xfrm>
          <a:off x="2828925" y="714374"/>
          <a:ext cx="1559859" cy="942975"/>
        </a:xfrm>
        <a:prstGeom prst="roundRect">
          <a:avLst/>
        </a:prstGeom>
        <a:solidFill>
          <a:schemeClr val="tx2">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Total Revenue</a:t>
          </a:r>
          <a:r>
            <a:rPr lang="en-IN" sz="1600" b="1">
              <a:effectLst/>
            </a:rPr>
            <a:t> </a:t>
          </a:r>
          <a:endParaRPr lang="en-IN" sz="1600" b="1" i="0" u="none" strike="noStrike">
            <a:solidFill>
              <a:schemeClr val="dk1"/>
            </a:solidFill>
            <a:effectLst/>
            <a:latin typeface="+mn-lt"/>
            <a:ea typeface="+mn-ea"/>
            <a:cs typeface="+mn-cs"/>
          </a:endParaRPr>
        </a:p>
        <a:p>
          <a:pPr algn="ctr"/>
          <a:r>
            <a:rPr lang="en-IN" sz="1600" b="0" i="0" u="none" strike="noStrike">
              <a:solidFill>
                <a:schemeClr val="dk1"/>
              </a:solidFill>
              <a:effectLst/>
              <a:latin typeface="+mn-lt"/>
              <a:ea typeface="+mn-ea"/>
              <a:cs typeface="+mn-cs"/>
            </a:rPr>
            <a:t>9,433,865</a:t>
          </a:r>
          <a:endParaRPr lang="en-IN" sz="1600"/>
        </a:p>
      </xdr:txBody>
    </xdr:sp>
    <xdr:clientData/>
  </xdr:twoCellAnchor>
  <xdr:twoCellAnchor>
    <xdr:from>
      <xdr:col>7</xdr:col>
      <xdr:colOff>466726</xdr:colOff>
      <xdr:row>3</xdr:row>
      <xdr:rowOff>0</xdr:rowOff>
    </xdr:from>
    <xdr:to>
      <xdr:col>10</xdr:col>
      <xdr:colOff>112060</xdr:colOff>
      <xdr:row>8</xdr:row>
      <xdr:rowOff>0</xdr:rowOff>
    </xdr:to>
    <xdr:sp macro="" textlink="">
      <xdr:nvSpPr>
        <xdr:cNvPr id="9" name="TextBox 8">
          <a:extLst>
            <a:ext uri="{FF2B5EF4-FFF2-40B4-BE49-F238E27FC236}">
              <a16:creationId xmlns:a16="http://schemas.microsoft.com/office/drawing/2014/main" id="{2953EF42-0192-4E2C-AECD-D07078CB6FA2}"/>
            </a:ext>
          </a:extLst>
        </xdr:cNvPr>
        <xdr:cNvSpPr txBox="1"/>
      </xdr:nvSpPr>
      <xdr:spPr>
        <a:xfrm>
          <a:off x="4733926" y="723900"/>
          <a:ext cx="1474134" cy="904875"/>
        </a:xfrm>
        <a:prstGeom prst="roundRect">
          <a:avLst/>
        </a:prstGeom>
        <a:solidFill>
          <a:schemeClr val="tx2">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Total Orders</a:t>
          </a:r>
        </a:p>
        <a:p>
          <a:pPr algn="ctr"/>
          <a:r>
            <a:rPr lang="en-IN" sz="1600" b="0" i="0" u="none" strike="noStrike">
              <a:solidFill>
                <a:schemeClr val="dk1"/>
              </a:solidFill>
              <a:effectLst/>
              <a:latin typeface="+mn-lt"/>
              <a:ea typeface="+mn-ea"/>
              <a:cs typeface="+mn-cs"/>
            </a:rPr>
            <a:t>1200</a:t>
          </a:r>
          <a:endParaRPr lang="en-IN" sz="1600" b="0"/>
        </a:p>
      </xdr:txBody>
    </xdr:sp>
    <xdr:clientData/>
  </xdr:twoCellAnchor>
  <xdr:twoCellAnchor>
    <xdr:from>
      <xdr:col>10</xdr:col>
      <xdr:colOff>438151</xdr:colOff>
      <xdr:row>3</xdr:row>
      <xdr:rowOff>19050</xdr:rowOff>
    </xdr:from>
    <xdr:to>
      <xdr:col>13</xdr:col>
      <xdr:colOff>276225</xdr:colOff>
      <xdr:row>7</xdr:row>
      <xdr:rowOff>171450</xdr:rowOff>
    </xdr:to>
    <xdr:sp macro="" textlink="">
      <xdr:nvSpPr>
        <xdr:cNvPr id="10" name="TextBox 9">
          <a:extLst>
            <a:ext uri="{FF2B5EF4-FFF2-40B4-BE49-F238E27FC236}">
              <a16:creationId xmlns:a16="http://schemas.microsoft.com/office/drawing/2014/main" id="{F93BB500-7EBA-41DD-925D-C3B87FB44820}"/>
            </a:ext>
          </a:extLst>
        </xdr:cNvPr>
        <xdr:cNvSpPr txBox="1"/>
      </xdr:nvSpPr>
      <xdr:spPr>
        <a:xfrm>
          <a:off x="6534151" y="742950"/>
          <a:ext cx="1666874" cy="876300"/>
        </a:xfrm>
        <a:prstGeom prst="roundRect">
          <a:avLst/>
        </a:prstGeom>
        <a:solidFill>
          <a:schemeClr val="tx2">
            <a:lumMod val="20000"/>
            <a:lumOff val="8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i="0" u="none" strike="noStrike">
              <a:solidFill>
                <a:schemeClr val="dk1"/>
              </a:solidFill>
              <a:effectLst/>
              <a:latin typeface="+mn-lt"/>
              <a:ea typeface="+mn-ea"/>
              <a:cs typeface="+mn-cs"/>
            </a:rPr>
            <a:t>Avg</a:t>
          </a:r>
          <a:r>
            <a:rPr lang="en-IN" sz="1600" b="1" i="0" u="none" strike="noStrike" baseline="0">
              <a:solidFill>
                <a:schemeClr val="dk1"/>
              </a:solidFill>
              <a:effectLst/>
              <a:latin typeface="+mn-lt"/>
              <a:ea typeface="+mn-ea"/>
              <a:cs typeface="+mn-cs"/>
            </a:rPr>
            <a:t> </a:t>
          </a:r>
          <a:r>
            <a:rPr lang="en-IN" sz="1600" b="1" i="0" u="none" strike="noStrike">
              <a:solidFill>
                <a:schemeClr val="dk1"/>
              </a:solidFill>
              <a:effectLst/>
              <a:latin typeface="+mn-lt"/>
              <a:ea typeface="+mn-ea"/>
              <a:cs typeface="+mn-cs"/>
            </a:rPr>
            <a:t>Order</a:t>
          </a:r>
          <a:r>
            <a:rPr lang="en-IN" sz="1600" b="1" i="0" u="none" strike="noStrike" baseline="0">
              <a:solidFill>
                <a:schemeClr val="dk1"/>
              </a:solidFill>
              <a:effectLst/>
              <a:latin typeface="+mn-lt"/>
              <a:ea typeface="+mn-ea"/>
              <a:cs typeface="+mn-cs"/>
            </a:rPr>
            <a:t> Value</a:t>
          </a:r>
          <a:endParaRPr lang="en-IN" sz="1600" b="1" i="0" u="none" strike="noStrike">
            <a:solidFill>
              <a:schemeClr val="dk1"/>
            </a:solidFill>
            <a:effectLst/>
            <a:latin typeface="+mn-lt"/>
            <a:ea typeface="+mn-ea"/>
            <a:cs typeface="+mn-cs"/>
          </a:endParaRPr>
        </a:p>
        <a:p>
          <a:pPr algn="ctr"/>
          <a:r>
            <a:rPr lang="en-IN" sz="1600" b="0" i="0" u="none" strike="noStrike">
              <a:solidFill>
                <a:schemeClr val="dk1"/>
              </a:solidFill>
              <a:effectLst/>
              <a:latin typeface="+mn-lt"/>
              <a:ea typeface="+mn-ea"/>
              <a:cs typeface="+mn-cs"/>
            </a:rPr>
            <a:t>7862</a:t>
          </a:r>
          <a:endParaRPr lang="en-IN" sz="1600"/>
        </a:p>
      </xdr:txBody>
    </xdr:sp>
    <xdr:clientData/>
  </xdr:twoCellAnchor>
  <xdr:twoCellAnchor>
    <xdr:from>
      <xdr:col>4</xdr:col>
      <xdr:colOff>476250</xdr:colOff>
      <xdr:row>9</xdr:row>
      <xdr:rowOff>180974</xdr:rowOff>
    </xdr:from>
    <xdr:to>
      <xdr:col>12</xdr:col>
      <xdr:colOff>171450</xdr:colOff>
      <xdr:row>31</xdr:row>
      <xdr:rowOff>85725</xdr:rowOff>
    </xdr:to>
    <xdr:graphicFrame macro="">
      <xdr:nvGraphicFramePr>
        <xdr:cNvPr id="11" name="Chart 10">
          <a:extLst>
            <a:ext uri="{FF2B5EF4-FFF2-40B4-BE49-F238E27FC236}">
              <a16:creationId xmlns:a16="http://schemas.microsoft.com/office/drawing/2014/main" id="{ED030E53-9702-4307-A863-0A3994E8A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361950</xdr:colOff>
      <xdr:row>16</xdr:row>
      <xdr:rowOff>9525</xdr:rowOff>
    </xdr:from>
    <xdr:to>
      <xdr:col>18</xdr:col>
      <xdr:colOff>190500</xdr:colOff>
      <xdr:row>30</xdr:row>
      <xdr:rowOff>152400</xdr:rowOff>
    </xdr:to>
    <xdr:graphicFrame macro="">
      <xdr:nvGraphicFramePr>
        <xdr:cNvPr id="12" name="Chart 11">
          <a:extLst>
            <a:ext uri="{FF2B5EF4-FFF2-40B4-BE49-F238E27FC236}">
              <a16:creationId xmlns:a16="http://schemas.microsoft.com/office/drawing/2014/main" id="{1E3F53AA-EEDF-4A55-A471-0273520AFA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552449</xdr:colOff>
      <xdr:row>16</xdr:row>
      <xdr:rowOff>28575</xdr:rowOff>
    </xdr:from>
    <xdr:to>
      <xdr:col>29</xdr:col>
      <xdr:colOff>28574</xdr:colOff>
      <xdr:row>31</xdr:row>
      <xdr:rowOff>57150</xdr:rowOff>
    </xdr:to>
    <xdr:graphicFrame macro="">
      <xdr:nvGraphicFramePr>
        <xdr:cNvPr id="13" name="Chart 12">
          <a:extLst>
            <a:ext uri="{FF2B5EF4-FFF2-40B4-BE49-F238E27FC236}">
              <a16:creationId xmlns:a16="http://schemas.microsoft.com/office/drawing/2014/main" id="{EE4AEB69-D5E2-46E7-8C43-F5DB53AB4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561974</xdr:colOff>
      <xdr:row>3</xdr:row>
      <xdr:rowOff>9526</xdr:rowOff>
    </xdr:from>
    <xdr:to>
      <xdr:col>29</xdr:col>
      <xdr:colOff>19049</xdr:colOff>
      <xdr:row>12</xdr:row>
      <xdr:rowOff>1</xdr:rowOff>
    </xdr:to>
    <xdr:graphicFrame macro="">
      <xdr:nvGraphicFramePr>
        <xdr:cNvPr id="14" name="Chart 13">
          <a:extLst>
            <a:ext uri="{FF2B5EF4-FFF2-40B4-BE49-F238E27FC236}">
              <a16:creationId xmlns:a16="http://schemas.microsoft.com/office/drawing/2014/main" id="{72913136-F4CE-4CC4-9EBE-7BEAC1663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refreshedDate="46111.903209027776" createdVersion="8" refreshedVersion="8" minRefreshableVersion="3" recordCount="1200" xr:uid="{1A641352-D092-4389-8B92-53753A7818D5}">
  <cacheSource type="worksheet">
    <worksheetSource name="Sales"/>
  </cacheSource>
  <cacheFields count="10">
    <cacheField name="Order_ID" numFmtId="0">
      <sharedItems containsSemiMixedTypes="0" containsString="0" containsNumber="1" containsInteger="1" minValue="1001" maxValue="1600"/>
    </cacheField>
    <cacheField name="Order_Date" numFmtId="0">
      <sharedItems/>
    </cacheField>
    <cacheField name="Month" numFmtId="0">
      <sharedItems count="12">
        <s v="Jan"/>
        <s v="Feb"/>
        <s v="Mar"/>
        <s v="Jun"/>
        <s v="Oct"/>
        <s v="Nov"/>
        <s v="Apr"/>
        <s v="Dec"/>
        <s v="Sep"/>
        <s v="May"/>
        <s v="Aug"/>
        <s v="Jul"/>
      </sharedItems>
    </cacheField>
    <cacheField name="Customer_ID" numFmtId="0">
      <sharedItems/>
    </cacheField>
    <cacheField name="Region" numFmtId="0">
      <sharedItems count="6">
        <s v="East"/>
        <s v="West"/>
        <s v="South"/>
        <s v="North"/>
        <s v="Unknown"/>
        <s v="" u="1"/>
      </sharedItems>
    </cacheField>
    <cacheField name="Category" numFmtId="0">
      <sharedItems count="4">
        <s v="Home"/>
        <s v="Clothing"/>
        <s v="Sports"/>
        <s v="Electronics"/>
      </sharedItems>
    </cacheField>
    <cacheField name="Product" numFmtId="0">
      <sharedItems count="21">
        <s v="Lamp"/>
        <s v="Sneakers"/>
        <s v="Yoga Mat"/>
        <s v="Mixer"/>
        <s v="Headphones"/>
        <s v="Dumbbells"/>
        <s v="Hoodie"/>
        <s v="USB Cable"/>
        <s v="Skipping Rope"/>
        <s v="T-Shirt"/>
        <s v="Table"/>
        <s v="Monitor"/>
        <s v="Mouse"/>
        <s v="Chair"/>
        <s v="Jacket"/>
        <s v="Keyboard"/>
        <s v="Jeans"/>
        <s v="Football"/>
        <s v="Cricket Bat"/>
        <s v="Bottle"/>
        <s v="Unknown"/>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203" maxValue="4997"/>
    </cacheField>
    <cacheField name="Revenue" numFmtId="0">
      <sharedItems containsSemiMixedTypes="0" containsString="0" containsNumber="1" containsInteger="1" minValue="220" maxValue="24975"/>
    </cacheField>
  </cacheFields>
  <extLst>
    <ext xmlns:x14="http://schemas.microsoft.com/office/spreadsheetml/2009/9/main" uri="{725AE2AE-9491-48be-B2B4-4EB974FC3084}">
      <x14:pivotCacheDefinition pivotCacheId="8243541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114"/>
    <s v="13-01-2024"/>
    <x v="0"/>
    <s v="C289"/>
    <x v="0"/>
    <x v="0"/>
    <x v="0"/>
    <n v="1"/>
    <n v="4667"/>
    <n v="4667"/>
  </r>
  <r>
    <n v="1030"/>
    <s v="17-02-2024"/>
    <x v="1"/>
    <s v="C155"/>
    <x v="1"/>
    <x v="1"/>
    <x v="1"/>
    <n v="5"/>
    <n v="3636"/>
    <n v="18180"/>
  </r>
  <r>
    <n v="1006"/>
    <s v="22-03-2024"/>
    <x v="2"/>
    <s v="C278"/>
    <x v="0"/>
    <x v="2"/>
    <x v="2"/>
    <n v="2"/>
    <n v="2957"/>
    <n v="5914"/>
  </r>
  <r>
    <n v="1367"/>
    <s v="25-06-2024"/>
    <x v="3"/>
    <s v="C254"/>
    <x v="2"/>
    <x v="0"/>
    <x v="3"/>
    <n v="4"/>
    <n v="845"/>
    <n v="3380"/>
  </r>
  <r>
    <n v="1370"/>
    <s v="22-10-2024"/>
    <x v="4"/>
    <s v="C149"/>
    <x v="3"/>
    <x v="3"/>
    <x v="4"/>
    <n v="1"/>
    <n v="2107"/>
    <n v="2107"/>
  </r>
  <r>
    <n v="1464"/>
    <s v="21-11-2024"/>
    <x v="5"/>
    <s v="C313"/>
    <x v="2"/>
    <x v="0"/>
    <x v="0"/>
    <n v="2"/>
    <n v="2387"/>
    <n v="4774"/>
  </r>
  <r>
    <n v="1073"/>
    <s v="07-11-2024"/>
    <x v="5"/>
    <s v="C262"/>
    <x v="0"/>
    <x v="1"/>
    <x v="1"/>
    <n v="4"/>
    <n v="3308"/>
    <n v="13232"/>
  </r>
  <r>
    <n v="1570"/>
    <s v="22-04-2024"/>
    <x v="6"/>
    <s v="C275"/>
    <x v="3"/>
    <x v="0"/>
    <x v="3"/>
    <n v="3"/>
    <n v="3486"/>
    <n v="10458"/>
  </r>
  <r>
    <n v="1580"/>
    <s v="10-06-2024"/>
    <x v="3"/>
    <s v="C154"/>
    <x v="0"/>
    <x v="2"/>
    <x v="5"/>
    <n v="3"/>
    <n v="1343"/>
    <n v="4029"/>
  </r>
  <r>
    <n v="1269"/>
    <s v="26-10-2024"/>
    <x v="4"/>
    <s v="C209"/>
    <x v="0"/>
    <x v="2"/>
    <x v="2"/>
    <n v="5"/>
    <n v="4242"/>
    <n v="21210"/>
  </r>
  <r>
    <n v="1112"/>
    <s v="19-03-2024"/>
    <x v="2"/>
    <s v="C260"/>
    <x v="0"/>
    <x v="1"/>
    <x v="6"/>
    <n v="4"/>
    <n v="4034"/>
    <n v="16136"/>
  </r>
  <r>
    <n v="1011"/>
    <s v="14-12-2024"/>
    <x v="7"/>
    <s v="C284"/>
    <x v="2"/>
    <x v="3"/>
    <x v="7"/>
    <n v="1"/>
    <n v="2604"/>
    <n v="2604"/>
  </r>
  <r>
    <n v="1269"/>
    <s v="13-09-2024"/>
    <x v="8"/>
    <s v="C295"/>
    <x v="3"/>
    <x v="1"/>
    <x v="1"/>
    <n v="5"/>
    <n v="1829"/>
    <n v="9145"/>
  </r>
  <r>
    <n v="1552"/>
    <s v="28-09-2024"/>
    <x v="8"/>
    <s v="C335"/>
    <x v="1"/>
    <x v="3"/>
    <x v="7"/>
    <n v="1"/>
    <n v="1116"/>
    <n v="1116"/>
  </r>
  <r>
    <n v="1314"/>
    <s v="02-05-2024"/>
    <x v="9"/>
    <s v="C114"/>
    <x v="2"/>
    <x v="1"/>
    <x v="1"/>
    <n v="4"/>
    <n v="766"/>
    <n v="3064"/>
  </r>
  <r>
    <n v="1128"/>
    <s v="06-03-2024"/>
    <x v="2"/>
    <s v="C268"/>
    <x v="3"/>
    <x v="2"/>
    <x v="8"/>
    <n v="5"/>
    <n v="3666"/>
    <n v="18330"/>
  </r>
  <r>
    <n v="1205"/>
    <s v="31-12-2024"/>
    <x v="7"/>
    <s v="C179"/>
    <x v="1"/>
    <x v="2"/>
    <x v="2"/>
    <n v="1"/>
    <n v="2230"/>
    <n v="2230"/>
  </r>
  <r>
    <n v="1567"/>
    <s v="27-04-2024"/>
    <x v="6"/>
    <s v="C250"/>
    <x v="3"/>
    <x v="1"/>
    <x v="9"/>
    <n v="2"/>
    <n v="752"/>
    <n v="1504"/>
  </r>
  <r>
    <n v="1072"/>
    <s v="20-09-2024"/>
    <x v="8"/>
    <s v="C160"/>
    <x v="0"/>
    <x v="0"/>
    <x v="10"/>
    <n v="5"/>
    <n v="4920"/>
    <n v="24600"/>
  </r>
  <r>
    <n v="1416"/>
    <s v="07-04-2024"/>
    <x v="6"/>
    <s v="C124"/>
    <x v="0"/>
    <x v="3"/>
    <x v="11"/>
    <n v="4"/>
    <n v="4025"/>
    <n v="16100"/>
  </r>
  <r>
    <n v="1100"/>
    <s v="01-02-2024"/>
    <x v="1"/>
    <s v="C203"/>
    <x v="1"/>
    <x v="0"/>
    <x v="3"/>
    <n v="2"/>
    <n v="4593"/>
    <n v="9186"/>
  </r>
  <r>
    <n v="1285"/>
    <s v="24-08-2024"/>
    <x v="10"/>
    <s v="C163"/>
    <x v="3"/>
    <x v="3"/>
    <x v="11"/>
    <n v="5"/>
    <n v="320"/>
    <n v="1600"/>
  </r>
  <r>
    <n v="1242"/>
    <s v="26-03-2024"/>
    <x v="2"/>
    <s v="C204"/>
    <x v="0"/>
    <x v="2"/>
    <x v="5"/>
    <n v="1"/>
    <n v="1548"/>
    <n v="1548"/>
  </r>
  <r>
    <n v="1271"/>
    <s v="20-08-2024"/>
    <x v="10"/>
    <s v="C173"/>
    <x v="0"/>
    <x v="2"/>
    <x v="8"/>
    <n v="2"/>
    <n v="2630"/>
    <n v="5260"/>
  </r>
  <r>
    <n v="1555"/>
    <s v="01-02-2024"/>
    <x v="1"/>
    <s v="C291"/>
    <x v="1"/>
    <x v="0"/>
    <x v="3"/>
    <n v="5"/>
    <n v="4550"/>
    <n v="22750"/>
  </r>
  <r>
    <n v="1082"/>
    <s v="05-04-2024"/>
    <x v="6"/>
    <s v="C117"/>
    <x v="2"/>
    <x v="3"/>
    <x v="12"/>
    <n v="5"/>
    <n v="2216"/>
    <n v="11080"/>
  </r>
  <r>
    <n v="1083"/>
    <s v="02-08-2024"/>
    <x v="10"/>
    <s v="C268"/>
    <x v="2"/>
    <x v="0"/>
    <x v="13"/>
    <n v="2"/>
    <n v="2375"/>
    <n v="4750"/>
  </r>
  <r>
    <n v="1307"/>
    <s v="22-08-2024"/>
    <x v="10"/>
    <s v="C180"/>
    <x v="2"/>
    <x v="3"/>
    <x v="4"/>
    <n v="1"/>
    <n v="4604"/>
    <n v="4604"/>
  </r>
  <r>
    <n v="1357"/>
    <s v="05-02-2024"/>
    <x v="1"/>
    <s v="C325"/>
    <x v="0"/>
    <x v="1"/>
    <x v="14"/>
    <n v="4"/>
    <n v="4650"/>
    <n v="18600"/>
  </r>
  <r>
    <n v="1541"/>
    <s v="05-01-2024"/>
    <x v="0"/>
    <s v="C270"/>
    <x v="3"/>
    <x v="0"/>
    <x v="3"/>
    <n v="1"/>
    <n v="1076"/>
    <n v="1076"/>
  </r>
  <r>
    <n v="1288"/>
    <s v="05-11-2024"/>
    <x v="5"/>
    <s v="C153"/>
    <x v="1"/>
    <x v="0"/>
    <x v="0"/>
    <n v="3"/>
    <n v="616"/>
    <n v="1848"/>
  </r>
  <r>
    <n v="1283"/>
    <s v="23-01-2024"/>
    <x v="0"/>
    <s v="C100"/>
    <x v="0"/>
    <x v="0"/>
    <x v="0"/>
    <n v="4"/>
    <n v="4719"/>
    <n v="18876"/>
  </r>
  <r>
    <n v="1114"/>
    <s v="08-02-2024"/>
    <x v="1"/>
    <s v="C341"/>
    <x v="2"/>
    <x v="1"/>
    <x v="1"/>
    <n v="5"/>
    <n v="4726"/>
    <n v="23630"/>
  </r>
  <r>
    <n v="1315"/>
    <s v="05-07-2024"/>
    <x v="11"/>
    <s v="C330"/>
    <x v="1"/>
    <x v="3"/>
    <x v="15"/>
    <n v="1"/>
    <n v="3097"/>
    <n v="3097"/>
  </r>
  <r>
    <n v="1416"/>
    <s v="13-11-2024"/>
    <x v="5"/>
    <s v="C291"/>
    <x v="0"/>
    <x v="1"/>
    <x v="16"/>
    <n v="4"/>
    <n v="403"/>
    <n v="1612"/>
  </r>
  <r>
    <n v="1421"/>
    <s v="08-12-2024"/>
    <x v="7"/>
    <s v="C321"/>
    <x v="2"/>
    <x v="1"/>
    <x v="14"/>
    <n v="4"/>
    <n v="517"/>
    <n v="2068"/>
  </r>
  <r>
    <n v="1471"/>
    <s v="28-06-2024"/>
    <x v="3"/>
    <s v="C178"/>
    <x v="1"/>
    <x v="1"/>
    <x v="16"/>
    <n v="4"/>
    <n v="2889"/>
    <n v="11556"/>
  </r>
  <r>
    <n v="1285"/>
    <s v="28-06-2024"/>
    <x v="3"/>
    <s v="C264"/>
    <x v="3"/>
    <x v="2"/>
    <x v="8"/>
    <n v="1"/>
    <n v="2339"/>
    <n v="2339"/>
  </r>
  <r>
    <n v="1271"/>
    <s v="20-01-2024"/>
    <x v="0"/>
    <s v="C127"/>
    <x v="0"/>
    <x v="2"/>
    <x v="2"/>
    <n v="5"/>
    <n v="4389"/>
    <n v="21945"/>
  </r>
  <r>
    <n v="1194"/>
    <s v="10-05-2024"/>
    <x v="9"/>
    <s v="C111"/>
    <x v="2"/>
    <x v="2"/>
    <x v="17"/>
    <n v="4"/>
    <n v="773"/>
    <n v="3092"/>
  </r>
  <r>
    <n v="1321"/>
    <s v="05-12-2024"/>
    <x v="7"/>
    <s v="C317"/>
    <x v="0"/>
    <x v="3"/>
    <x v="15"/>
    <n v="3"/>
    <n v="3496"/>
    <n v="10488"/>
  </r>
  <r>
    <n v="1196"/>
    <s v="03-08-2024"/>
    <x v="10"/>
    <s v="C270"/>
    <x v="0"/>
    <x v="2"/>
    <x v="18"/>
    <n v="5"/>
    <n v="203"/>
    <n v="1015"/>
  </r>
  <r>
    <n v="1593"/>
    <s v="06-11-2024"/>
    <x v="5"/>
    <s v="C267"/>
    <x v="1"/>
    <x v="0"/>
    <x v="10"/>
    <n v="2"/>
    <n v="4387"/>
    <n v="8774"/>
  </r>
  <r>
    <n v="1173"/>
    <s v="03-12-2024"/>
    <x v="7"/>
    <s v="C121"/>
    <x v="2"/>
    <x v="0"/>
    <x v="19"/>
    <n v="2"/>
    <n v="2742"/>
    <n v="5484"/>
  </r>
  <r>
    <n v="1025"/>
    <s v="24-01-2024"/>
    <x v="0"/>
    <s v="C162"/>
    <x v="1"/>
    <x v="2"/>
    <x v="8"/>
    <n v="4"/>
    <n v="4915"/>
    <n v="19660"/>
  </r>
  <r>
    <n v="1506"/>
    <s v="23-07-2024"/>
    <x v="11"/>
    <s v="C162"/>
    <x v="0"/>
    <x v="1"/>
    <x v="9"/>
    <n v="2"/>
    <n v="1640"/>
    <n v="3280"/>
  </r>
  <r>
    <n v="1475"/>
    <s v="26-01-2024"/>
    <x v="0"/>
    <s v="C242"/>
    <x v="0"/>
    <x v="1"/>
    <x v="9"/>
    <n v="4"/>
    <n v="4551"/>
    <n v="18204"/>
  </r>
  <r>
    <n v="1453"/>
    <s v="09-11-2024"/>
    <x v="5"/>
    <s v="C308"/>
    <x v="0"/>
    <x v="2"/>
    <x v="8"/>
    <n v="4"/>
    <n v="3886"/>
    <n v="15544"/>
  </r>
  <r>
    <n v="1283"/>
    <s v="23-09-2024"/>
    <x v="8"/>
    <s v="C224"/>
    <x v="2"/>
    <x v="1"/>
    <x v="14"/>
    <n v="3"/>
    <n v="2120"/>
    <n v="6360"/>
  </r>
  <r>
    <n v="1553"/>
    <s v="11-02-2024"/>
    <x v="1"/>
    <s v="C135"/>
    <x v="0"/>
    <x v="1"/>
    <x v="16"/>
    <n v="2"/>
    <n v="726"/>
    <n v="1452"/>
  </r>
  <r>
    <n v="1477"/>
    <s v="31-07-2024"/>
    <x v="11"/>
    <s v="C115"/>
    <x v="3"/>
    <x v="1"/>
    <x v="6"/>
    <n v="5"/>
    <n v="3316"/>
    <n v="16580"/>
  </r>
  <r>
    <n v="1305"/>
    <s v="18-07-2024"/>
    <x v="11"/>
    <s v="C318"/>
    <x v="1"/>
    <x v="2"/>
    <x v="8"/>
    <n v="2"/>
    <n v="2435"/>
    <n v="4870"/>
  </r>
  <r>
    <n v="1344"/>
    <s v="08-12-2024"/>
    <x v="7"/>
    <s v="C273"/>
    <x v="0"/>
    <x v="2"/>
    <x v="18"/>
    <n v="5"/>
    <n v="4575"/>
    <n v="22875"/>
  </r>
  <r>
    <n v="1577"/>
    <s v="05-12-2024"/>
    <x v="7"/>
    <s v="C106"/>
    <x v="1"/>
    <x v="3"/>
    <x v="11"/>
    <n v="2"/>
    <n v="611"/>
    <n v="1222"/>
  </r>
  <r>
    <n v="1465"/>
    <s v="16-06-2024"/>
    <x v="3"/>
    <s v="C186"/>
    <x v="3"/>
    <x v="2"/>
    <x v="20"/>
    <n v="1"/>
    <n v="4052"/>
    <n v="4052"/>
  </r>
  <r>
    <n v="1358"/>
    <s v="24-04-2024"/>
    <x v="6"/>
    <s v="C266"/>
    <x v="1"/>
    <x v="3"/>
    <x v="4"/>
    <n v="2"/>
    <n v="366"/>
    <n v="732"/>
  </r>
  <r>
    <n v="1484"/>
    <s v="08-12-2024"/>
    <x v="7"/>
    <s v="C129"/>
    <x v="2"/>
    <x v="1"/>
    <x v="6"/>
    <n v="2"/>
    <n v="1138"/>
    <n v="2276"/>
  </r>
  <r>
    <n v="1318"/>
    <s v="25-02-2024"/>
    <x v="1"/>
    <s v="C248"/>
    <x v="0"/>
    <x v="3"/>
    <x v="15"/>
    <n v="2"/>
    <n v="822"/>
    <n v="1644"/>
  </r>
  <r>
    <n v="1248"/>
    <s v="22-02-2024"/>
    <x v="1"/>
    <s v="C278"/>
    <x v="3"/>
    <x v="0"/>
    <x v="19"/>
    <n v="3"/>
    <n v="4564"/>
    <n v="13692"/>
  </r>
  <r>
    <n v="1518"/>
    <s v="27-11-2024"/>
    <x v="5"/>
    <s v="C187"/>
    <x v="2"/>
    <x v="3"/>
    <x v="11"/>
    <n v="4"/>
    <n v="3167"/>
    <n v="12668"/>
  </r>
  <r>
    <n v="1156"/>
    <s v="10-08-2024"/>
    <x v="10"/>
    <s v="C145"/>
    <x v="1"/>
    <x v="0"/>
    <x v="19"/>
    <n v="4"/>
    <n v="2398"/>
    <n v="9592"/>
  </r>
  <r>
    <n v="1088"/>
    <s v="22-05-2024"/>
    <x v="9"/>
    <s v="C325"/>
    <x v="0"/>
    <x v="2"/>
    <x v="18"/>
    <n v="3"/>
    <n v="435"/>
    <n v="1305"/>
  </r>
  <r>
    <n v="1499"/>
    <s v="18-04-2024"/>
    <x v="6"/>
    <s v="C190"/>
    <x v="3"/>
    <x v="0"/>
    <x v="13"/>
    <n v="5"/>
    <n v="283"/>
    <n v="1415"/>
  </r>
  <r>
    <n v="1247"/>
    <s v="27-07-2024"/>
    <x v="11"/>
    <s v="C225"/>
    <x v="1"/>
    <x v="1"/>
    <x v="6"/>
    <n v="1"/>
    <n v="962"/>
    <n v="962"/>
  </r>
  <r>
    <n v="1249"/>
    <s v="05-06-2024"/>
    <x v="3"/>
    <s v="C269"/>
    <x v="0"/>
    <x v="0"/>
    <x v="10"/>
    <n v="5"/>
    <n v="2909"/>
    <n v="14545"/>
  </r>
  <r>
    <n v="1313"/>
    <s v="08-05-2024"/>
    <x v="9"/>
    <s v="C159"/>
    <x v="2"/>
    <x v="3"/>
    <x v="12"/>
    <n v="5"/>
    <n v="1716"/>
    <n v="8580"/>
  </r>
  <r>
    <n v="1283"/>
    <s v="28-10-2024"/>
    <x v="4"/>
    <s v="C350"/>
    <x v="4"/>
    <x v="0"/>
    <x v="3"/>
    <n v="2"/>
    <n v="3156"/>
    <n v="6312"/>
  </r>
  <r>
    <n v="1546"/>
    <s v="05-03-2024"/>
    <x v="2"/>
    <s v="C170"/>
    <x v="0"/>
    <x v="3"/>
    <x v="4"/>
    <n v="4"/>
    <n v="1040"/>
    <n v="4160"/>
  </r>
  <r>
    <n v="1480"/>
    <s v="02-09-2024"/>
    <x v="8"/>
    <s v="C212"/>
    <x v="3"/>
    <x v="0"/>
    <x v="0"/>
    <n v="4"/>
    <n v="1134"/>
    <n v="4536"/>
  </r>
  <r>
    <n v="1075"/>
    <s v="22-10-2024"/>
    <x v="4"/>
    <s v="C261"/>
    <x v="3"/>
    <x v="3"/>
    <x v="12"/>
    <n v="1"/>
    <n v="2233"/>
    <n v="2233"/>
  </r>
  <r>
    <n v="1231"/>
    <s v="24-09-2024"/>
    <x v="8"/>
    <s v="C197"/>
    <x v="0"/>
    <x v="2"/>
    <x v="5"/>
    <n v="3"/>
    <n v="4858"/>
    <n v="14574"/>
  </r>
  <r>
    <n v="1101"/>
    <s v="16-04-2024"/>
    <x v="6"/>
    <s v="C260"/>
    <x v="0"/>
    <x v="1"/>
    <x v="14"/>
    <n v="2"/>
    <n v="1623"/>
    <n v="3246"/>
  </r>
  <r>
    <n v="1418"/>
    <s v="18-08-2024"/>
    <x v="10"/>
    <s v="C276"/>
    <x v="1"/>
    <x v="2"/>
    <x v="2"/>
    <n v="3"/>
    <n v="2516"/>
    <n v="7548"/>
  </r>
  <r>
    <n v="1239"/>
    <s v="15-05-2024"/>
    <x v="9"/>
    <s v="C301"/>
    <x v="1"/>
    <x v="1"/>
    <x v="6"/>
    <n v="2"/>
    <n v="2376"/>
    <n v="4752"/>
  </r>
  <r>
    <n v="1169"/>
    <s v="06-06-2024"/>
    <x v="3"/>
    <s v="C252"/>
    <x v="1"/>
    <x v="0"/>
    <x v="10"/>
    <n v="3"/>
    <n v="3497"/>
    <n v="10491"/>
  </r>
  <r>
    <n v="1505"/>
    <s v="12-08-2024"/>
    <x v="10"/>
    <s v="C120"/>
    <x v="3"/>
    <x v="3"/>
    <x v="11"/>
    <n v="1"/>
    <n v="948"/>
    <n v="948"/>
  </r>
  <r>
    <n v="1589"/>
    <s v="27-10-2024"/>
    <x v="4"/>
    <s v="C343"/>
    <x v="0"/>
    <x v="3"/>
    <x v="15"/>
    <n v="4"/>
    <n v="4451"/>
    <n v="17804"/>
  </r>
  <r>
    <n v="1185"/>
    <s v="26-10-2024"/>
    <x v="4"/>
    <s v="C211"/>
    <x v="2"/>
    <x v="2"/>
    <x v="17"/>
    <n v="4"/>
    <n v="2930"/>
    <n v="11720"/>
  </r>
  <r>
    <n v="1164"/>
    <s v="17-06-2024"/>
    <x v="3"/>
    <s v="C205"/>
    <x v="3"/>
    <x v="2"/>
    <x v="2"/>
    <n v="4"/>
    <n v="921"/>
    <n v="3684"/>
  </r>
  <r>
    <n v="1413"/>
    <s v="20-09-2024"/>
    <x v="8"/>
    <s v="C311"/>
    <x v="0"/>
    <x v="3"/>
    <x v="7"/>
    <n v="1"/>
    <n v="1736"/>
    <n v="1736"/>
  </r>
  <r>
    <n v="1510"/>
    <s v="16-11-2024"/>
    <x v="5"/>
    <s v="C213"/>
    <x v="0"/>
    <x v="3"/>
    <x v="12"/>
    <n v="3"/>
    <n v="3789"/>
    <n v="11367"/>
  </r>
  <r>
    <n v="1029"/>
    <s v="18-11-2024"/>
    <x v="5"/>
    <s v="C255"/>
    <x v="3"/>
    <x v="1"/>
    <x v="16"/>
    <n v="5"/>
    <n v="3542"/>
    <n v="17710"/>
  </r>
  <r>
    <n v="1116"/>
    <s v="24-08-2024"/>
    <x v="10"/>
    <s v="C342"/>
    <x v="3"/>
    <x v="3"/>
    <x v="12"/>
    <n v="5"/>
    <n v="2439"/>
    <n v="12195"/>
  </r>
  <r>
    <n v="1483"/>
    <s v="04-05-2024"/>
    <x v="9"/>
    <s v="C216"/>
    <x v="0"/>
    <x v="1"/>
    <x v="6"/>
    <n v="1"/>
    <n v="2463"/>
    <n v="2463"/>
  </r>
  <r>
    <n v="1348"/>
    <s v="16-09-2024"/>
    <x v="8"/>
    <s v="C168"/>
    <x v="1"/>
    <x v="3"/>
    <x v="15"/>
    <n v="2"/>
    <n v="3858"/>
    <n v="7716"/>
  </r>
  <r>
    <n v="1565"/>
    <s v="05-10-2024"/>
    <x v="4"/>
    <s v="C196"/>
    <x v="1"/>
    <x v="2"/>
    <x v="2"/>
    <n v="5"/>
    <n v="3337"/>
    <n v="16685"/>
  </r>
  <r>
    <n v="1044"/>
    <s v="11-06-2024"/>
    <x v="3"/>
    <s v="C290"/>
    <x v="0"/>
    <x v="2"/>
    <x v="5"/>
    <n v="4"/>
    <n v="503"/>
    <n v="2012"/>
  </r>
  <r>
    <n v="1339"/>
    <s v="21-02-2024"/>
    <x v="1"/>
    <s v="C323"/>
    <x v="3"/>
    <x v="2"/>
    <x v="17"/>
    <n v="2"/>
    <n v="3558"/>
    <n v="7116"/>
  </r>
  <r>
    <n v="1076"/>
    <s v="28-08-2024"/>
    <x v="10"/>
    <s v="C300"/>
    <x v="2"/>
    <x v="0"/>
    <x v="13"/>
    <n v="3"/>
    <n v="4571"/>
    <n v="13713"/>
  </r>
  <r>
    <n v="1499"/>
    <s v="04-10-2024"/>
    <x v="4"/>
    <s v="C109"/>
    <x v="1"/>
    <x v="3"/>
    <x v="12"/>
    <n v="1"/>
    <n v="3755"/>
    <n v="3755"/>
  </r>
  <r>
    <n v="1102"/>
    <s v="15-08-2024"/>
    <x v="10"/>
    <s v="C142"/>
    <x v="2"/>
    <x v="0"/>
    <x v="3"/>
    <n v="1"/>
    <n v="2603"/>
    <n v="2603"/>
  </r>
  <r>
    <n v="1250"/>
    <s v="28-09-2024"/>
    <x v="8"/>
    <s v="C205"/>
    <x v="2"/>
    <x v="1"/>
    <x v="16"/>
    <n v="5"/>
    <n v="3333"/>
    <n v="16665"/>
  </r>
  <r>
    <n v="1597"/>
    <s v="14-03-2024"/>
    <x v="2"/>
    <s v="C159"/>
    <x v="3"/>
    <x v="2"/>
    <x v="2"/>
    <n v="1"/>
    <n v="4011"/>
    <n v="4011"/>
  </r>
  <r>
    <n v="1161"/>
    <s v="07-02-2024"/>
    <x v="1"/>
    <s v="C213"/>
    <x v="0"/>
    <x v="0"/>
    <x v="19"/>
    <n v="3"/>
    <n v="3942"/>
    <n v="11826"/>
  </r>
  <r>
    <n v="1393"/>
    <s v="04-09-2024"/>
    <x v="8"/>
    <s v="C127"/>
    <x v="3"/>
    <x v="1"/>
    <x v="6"/>
    <n v="3"/>
    <n v="379"/>
    <n v="1137"/>
  </r>
  <r>
    <n v="1281"/>
    <s v="05-01-2024"/>
    <x v="0"/>
    <s v="C244"/>
    <x v="3"/>
    <x v="3"/>
    <x v="7"/>
    <n v="2"/>
    <n v="3086"/>
    <n v="6172"/>
  </r>
  <r>
    <n v="1256"/>
    <s v="13-12-2024"/>
    <x v="7"/>
    <s v="C293"/>
    <x v="3"/>
    <x v="1"/>
    <x v="9"/>
    <n v="4"/>
    <n v="473"/>
    <n v="1892"/>
  </r>
  <r>
    <n v="1092"/>
    <s v="31-05-2024"/>
    <x v="9"/>
    <s v="C183"/>
    <x v="0"/>
    <x v="2"/>
    <x v="18"/>
    <n v="5"/>
    <n v="3197"/>
    <n v="15985"/>
  </r>
  <r>
    <n v="1168"/>
    <s v="11-05-2024"/>
    <x v="9"/>
    <s v="C333"/>
    <x v="2"/>
    <x v="2"/>
    <x v="2"/>
    <n v="4"/>
    <n v="816"/>
    <n v="3264"/>
  </r>
  <r>
    <n v="1406"/>
    <s v="12-10-2024"/>
    <x v="4"/>
    <s v="C193"/>
    <x v="3"/>
    <x v="3"/>
    <x v="11"/>
    <n v="5"/>
    <n v="1212"/>
    <n v="6060"/>
  </r>
  <r>
    <n v="1268"/>
    <s v="26-10-2024"/>
    <x v="4"/>
    <s v="C197"/>
    <x v="1"/>
    <x v="0"/>
    <x v="3"/>
    <n v="1"/>
    <n v="4799"/>
    <n v="4799"/>
  </r>
  <r>
    <n v="1064"/>
    <s v="21-11-2024"/>
    <x v="5"/>
    <s v="C310"/>
    <x v="2"/>
    <x v="2"/>
    <x v="2"/>
    <n v="2"/>
    <n v="571"/>
    <n v="1142"/>
  </r>
  <r>
    <n v="1504"/>
    <s v="29-02-2024"/>
    <x v="1"/>
    <s v="C124"/>
    <x v="0"/>
    <x v="1"/>
    <x v="1"/>
    <n v="4"/>
    <n v="3239"/>
    <n v="12956"/>
  </r>
  <r>
    <n v="1553"/>
    <s v="02-08-2024"/>
    <x v="10"/>
    <s v="C250"/>
    <x v="1"/>
    <x v="1"/>
    <x v="6"/>
    <n v="5"/>
    <n v="3543"/>
    <n v="17715"/>
  </r>
  <r>
    <n v="1379"/>
    <s v="21-04-2024"/>
    <x v="6"/>
    <s v="C213"/>
    <x v="2"/>
    <x v="2"/>
    <x v="18"/>
    <n v="3"/>
    <n v="4660"/>
    <n v="13980"/>
  </r>
  <r>
    <n v="1062"/>
    <s v="22-07-2024"/>
    <x v="11"/>
    <s v="C170"/>
    <x v="2"/>
    <x v="1"/>
    <x v="9"/>
    <n v="2"/>
    <n v="374"/>
    <n v="748"/>
  </r>
  <r>
    <n v="1128"/>
    <s v="16-10-2024"/>
    <x v="4"/>
    <s v="C152"/>
    <x v="1"/>
    <x v="3"/>
    <x v="7"/>
    <n v="2"/>
    <n v="2891"/>
    <n v="5782"/>
  </r>
  <r>
    <n v="1002"/>
    <s v="21-05-2024"/>
    <x v="9"/>
    <s v="C319"/>
    <x v="0"/>
    <x v="1"/>
    <x v="16"/>
    <n v="1"/>
    <n v="411"/>
    <n v="411"/>
  </r>
  <r>
    <n v="1243"/>
    <s v="28-10-2024"/>
    <x v="4"/>
    <s v="C182"/>
    <x v="3"/>
    <x v="3"/>
    <x v="12"/>
    <n v="2"/>
    <n v="3648"/>
    <n v="7296"/>
  </r>
  <r>
    <n v="1487"/>
    <s v="17-08-2024"/>
    <x v="10"/>
    <s v="C299"/>
    <x v="1"/>
    <x v="0"/>
    <x v="19"/>
    <n v="5"/>
    <n v="2014"/>
    <n v="10070"/>
  </r>
  <r>
    <n v="1533"/>
    <s v="03-06-2024"/>
    <x v="3"/>
    <s v="C217"/>
    <x v="0"/>
    <x v="3"/>
    <x v="4"/>
    <n v="4"/>
    <n v="1084"/>
    <n v="4336"/>
  </r>
  <r>
    <n v="1075"/>
    <s v="11-02-2024"/>
    <x v="1"/>
    <s v="C182"/>
    <x v="3"/>
    <x v="1"/>
    <x v="9"/>
    <n v="5"/>
    <n v="4995"/>
    <n v="24975"/>
  </r>
  <r>
    <n v="1543"/>
    <s v="30-05-2024"/>
    <x v="9"/>
    <s v="C216"/>
    <x v="1"/>
    <x v="2"/>
    <x v="17"/>
    <n v="4"/>
    <n v="3899"/>
    <n v="15596"/>
  </r>
  <r>
    <n v="1464"/>
    <s v="23-07-2024"/>
    <x v="11"/>
    <s v="C206"/>
    <x v="2"/>
    <x v="3"/>
    <x v="15"/>
    <n v="3"/>
    <n v="3266"/>
    <n v="9798"/>
  </r>
  <r>
    <n v="1485"/>
    <s v="04-02-2024"/>
    <x v="1"/>
    <s v="C123"/>
    <x v="2"/>
    <x v="3"/>
    <x v="4"/>
    <n v="3"/>
    <n v="1265"/>
    <n v="3795"/>
  </r>
  <r>
    <n v="1575"/>
    <s v="14-10-2024"/>
    <x v="4"/>
    <s v="C184"/>
    <x v="0"/>
    <x v="3"/>
    <x v="11"/>
    <n v="1"/>
    <n v="2556"/>
    <n v="2556"/>
  </r>
  <r>
    <n v="1591"/>
    <s v="16-09-2024"/>
    <x v="8"/>
    <s v="C154"/>
    <x v="2"/>
    <x v="1"/>
    <x v="6"/>
    <n v="3"/>
    <n v="4756"/>
    <n v="14268"/>
  </r>
  <r>
    <n v="1587"/>
    <s v="25-04-2024"/>
    <x v="6"/>
    <s v="C306"/>
    <x v="3"/>
    <x v="2"/>
    <x v="8"/>
    <n v="1"/>
    <n v="1677"/>
    <n v="1677"/>
  </r>
  <r>
    <n v="1347"/>
    <s v="28-06-2024"/>
    <x v="3"/>
    <s v="C101"/>
    <x v="2"/>
    <x v="1"/>
    <x v="16"/>
    <n v="2"/>
    <n v="451"/>
    <n v="902"/>
  </r>
  <r>
    <n v="1385"/>
    <s v="02-08-2024"/>
    <x v="10"/>
    <s v="C216"/>
    <x v="3"/>
    <x v="0"/>
    <x v="0"/>
    <n v="3"/>
    <n v="4849"/>
    <n v="14547"/>
  </r>
  <r>
    <n v="1159"/>
    <s v="21-03-2024"/>
    <x v="2"/>
    <s v="C293"/>
    <x v="1"/>
    <x v="3"/>
    <x v="4"/>
    <n v="4"/>
    <n v="4178"/>
    <n v="16712"/>
  </r>
  <r>
    <n v="1220"/>
    <s v="19-09-2024"/>
    <x v="8"/>
    <s v="C129"/>
    <x v="3"/>
    <x v="0"/>
    <x v="10"/>
    <n v="5"/>
    <n v="4186"/>
    <n v="20930"/>
  </r>
  <r>
    <n v="1225"/>
    <s v="21-07-2024"/>
    <x v="11"/>
    <s v="C253"/>
    <x v="3"/>
    <x v="3"/>
    <x v="4"/>
    <n v="2"/>
    <n v="1324"/>
    <n v="2648"/>
  </r>
  <r>
    <n v="1122"/>
    <s v="04-01-2024"/>
    <x v="0"/>
    <s v="C227"/>
    <x v="0"/>
    <x v="2"/>
    <x v="18"/>
    <n v="5"/>
    <n v="2085"/>
    <n v="10425"/>
  </r>
  <r>
    <n v="1362"/>
    <s v="06-02-2024"/>
    <x v="1"/>
    <s v="C201"/>
    <x v="1"/>
    <x v="3"/>
    <x v="11"/>
    <n v="1"/>
    <n v="2764"/>
    <n v="2764"/>
  </r>
  <r>
    <n v="1427"/>
    <s v="28-05-2024"/>
    <x v="9"/>
    <s v="C129"/>
    <x v="0"/>
    <x v="2"/>
    <x v="17"/>
    <n v="5"/>
    <n v="3969"/>
    <n v="19845"/>
  </r>
  <r>
    <n v="1090"/>
    <s v="11-08-2024"/>
    <x v="10"/>
    <s v="C316"/>
    <x v="0"/>
    <x v="3"/>
    <x v="12"/>
    <n v="5"/>
    <n v="844"/>
    <n v="4220"/>
  </r>
  <r>
    <n v="1347"/>
    <s v="23-04-2024"/>
    <x v="6"/>
    <s v="C185"/>
    <x v="1"/>
    <x v="1"/>
    <x v="9"/>
    <n v="3"/>
    <n v="3076"/>
    <n v="9228"/>
  </r>
  <r>
    <n v="1151"/>
    <s v="30-04-2024"/>
    <x v="6"/>
    <s v="C126"/>
    <x v="0"/>
    <x v="1"/>
    <x v="14"/>
    <n v="5"/>
    <n v="1452"/>
    <n v="7260"/>
  </r>
  <r>
    <n v="1181"/>
    <s v="17-11-2024"/>
    <x v="5"/>
    <s v="C226"/>
    <x v="2"/>
    <x v="2"/>
    <x v="8"/>
    <n v="3"/>
    <n v="1436"/>
    <n v="4308"/>
  </r>
  <r>
    <n v="1310"/>
    <s v="20-05-2024"/>
    <x v="9"/>
    <s v="C251"/>
    <x v="3"/>
    <x v="3"/>
    <x v="15"/>
    <n v="4"/>
    <n v="3902"/>
    <n v="15608"/>
  </r>
  <r>
    <n v="1293"/>
    <s v="09-02-2024"/>
    <x v="1"/>
    <s v="C265"/>
    <x v="1"/>
    <x v="3"/>
    <x v="7"/>
    <n v="5"/>
    <n v="4740"/>
    <n v="23700"/>
  </r>
  <r>
    <n v="1042"/>
    <s v="18-08-2024"/>
    <x v="10"/>
    <s v="C332"/>
    <x v="0"/>
    <x v="1"/>
    <x v="14"/>
    <n v="1"/>
    <n v="3890"/>
    <n v="3890"/>
  </r>
  <r>
    <n v="1351"/>
    <s v="31-12-2024"/>
    <x v="7"/>
    <s v="C121"/>
    <x v="1"/>
    <x v="1"/>
    <x v="9"/>
    <n v="4"/>
    <n v="4493"/>
    <n v="17972"/>
  </r>
  <r>
    <n v="1381"/>
    <s v="24-05-2024"/>
    <x v="9"/>
    <s v="C199"/>
    <x v="2"/>
    <x v="2"/>
    <x v="2"/>
    <n v="1"/>
    <n v="2900"/>
    <n v="2900"/>
  </r>
  <r>
    <n v="1290"/>
    <s v="09-05-2024"/>
    <x v="9"/>
    <s v="C285"/>
    <x v="0"/>
    <x v="1"/>
    <x v="14"/>
    <n v="3"/>
    <n v="2741"/>
    <n v="8223"/>
  </r>
  <r>
    <n v="1401"/>
    <s v="07-03-2024"/>
    <x v="2"/>
    <s v="C252"/>
    <x v="2"/>
    <x v="3"/>
    <x v="15"/>
    <n v="2"/>
    <n v="4512"/>
    <n v="9024"/>
  </r>
  <r>
    <n v="1520"/>
    <s v="04-07-2024"/>
    <x v="11"/>
    <s v="C104"/>
    <x v="1"/>
    <x v="0"/>
    <x v="13"/>
    <n v="3"/>
    <n v="4183"/>
    <n v="12549"/>
  </r>
  <r>
    <n v="1158"/>
    <s v="09-02-2024"/>
    <x v="1"/>
    <s v="C175"/>
    <x v="2"/>
    <x v="3"/>
    <x v="7"/>
    <n v="5"/>
    <n v="1273"/>
    <n v="6365"/>
  </r>
  <r>
    <n v="1185"/>
    <s v="20-12-2024"/>
    <x v="7"/>
    <s v="C297"/>
    <x v="0"/>
    <x v="1"/>
    <x v="6"/>
    <n v="3"/>
    <n v="2145"/>
    <n v="6435"/>
  </r>
  <r>
    <n v="1459"/>
    <s v="29-04-2024"/>
    <x v="6"/>
    <s v="C236"/>
    <x v="1"/>
    <x v="1"/>
    <x v="14"/>
    <n v="3"/>
    <n v="4872"/>
    <n v="14616"/>
  </r>
  <r>
    <n v="1288"/>
    <s v="14-07-2024"/>
    <x v="11"/>
    <s v="C228"/>
    <x v="0"/>
    <x v="2"/>
    <x v="18"/>
    <n v="3"/>
    <n v="627"/>
    <n v="1881"/>
  </r>
  <r>
    <n v="1567"/>
    <s v="22-02-2024"/>
    <x v="1"/>
    <s v="C282"/>
    <x v="0"/>
    <x v="3"/>
    <x v="15"/>
    <n v="3"/>
    <n v="3880"/>
    <n v="11640"/>
  </r>
  <r>
    <n v="1447"/>
    <s v="16-02-2024"/>
    <x v="1"/>
    <s v="C342"/>
    <x v="3"/>
    <x v="1"/>
    <x v="6"/>
    <n v="4"/>
    <n v="636"/>
    <n v="2544"/>
  </r>
  <r>
    <n v="1395"/>
    <s v="11-02-2024"/>
    <x v="1"/>
    <s v="C195"/>
    <x v="2"/>
    <x v="1"/>
    <x v="9"/>
    <n v="3"/>
    <n v="1396"/>
    <n v="4188"/>
  </r>
  <r>
    <n v="1483"/>
    <s v="22-12-2024"/>
    <x v="7"/>
    <s v="C312"/>
    <x v="3"/>
    <x v="1"/>
    <x v="6"/>
    <n v="1"/>
    <n v="355"/>
    <n v="355"/>
  </r>
  <r>
    <n v="1561"/>
    <s v="07-11-2024"/>
    <x v="5"/>
    <s v="C235"/>
    <x v="1"/>
    <x v="2"/>
    <x v="17"/>
    <n v="3"/>
    <n v="1198"/>
    <n v="3594"/>
  </r>
  <r>
    <n v="1468"/>
    <s v="02-02-2024"/>
    <x v="1"/>
    <s v="C128"/>
    <x v="1"/>
    <x v="2"/>
    <x v="8"/>
    <n v="2"/>
    <n v="2586"/>
    <n v="5172"/>
  </r>
  <r>
    <n v="1246"/>
    <s v="19-10-2024"/>
    <x v="4"/>
    <s v="C206"/>
    <x v="2"/>
    <x v="1"/>
    <x v="9"/>
    <n v="5"/>
    <n v="4657"/>
    <n v="23285"/>
  </r>
  <r>
    <n v="1567"/>
    <s v="11-01-2024"/>
    <x v="0"/>
    <s v="C199"/>
    <x v="2"/>
    <x v="2"/>
    <x v="17"/>
    <n v="3"/>
    <n v="333"/>
    <n v="999"/>
  </r>
  <r>
    <n v="1246"/>
    <s v="02-12-2024"/>
    <x v="7"/>
    <s v="C260"/>
    <x v="0"/>
    <x v="3"/>
    <x v="7"/>
    <n v="1"/>
    <n v="3086"/>
    <n v="3086"/>
  </r>
  <r>
    <n v="1179"/>
    <s v="16-12-2024"/>
    <x v="7"/>
    <s v="C218"/>
    <x v="2"/>
    <x v="2"/>
    <x v="18"/>
    <n v="4"/>
    <n v="502"/>
    <n v="2008"/>
  </r>
  <r>
    <n v="1204"/>
    <s v="22-01-2024"/>
    <x v="0"/>
    <s v="C180"/>
    <x v="1"/>
    <x v="0"/>
    <x v="19"/>
    <n v="3"/>
    <n v="499"/>
    <n v="1497"/>
  </r>
  <r>
    <n v="1365"/>
    <s v="25-01-2024"/>
    <x v="0"/>
    <s v="C321"/>
    <x v="2"/>
    <x v="0"/>
    <x v="13"/>
    <n v="4"/>
    <n v="3476"/>
    <n v="13904"/>
  </r>
  <r>
    <n v="1395"/>
    <s v="22-06-2024"/>
    <x v="3"/>
    <s v="C349"/>
    <x v="2"/>
    <x v="1"/>
    <x v="6"/>
    <n v="5"/>
    <n v="2384"/>
    <n v="11920"/>
  </r>
  <r>
    <n v="1080"/>
    <s v="08-08-2024"/>
    <x v="10"/>
    <s v="C254"/>
    <x v="2"/>
    <x v="1"/>
    <x v="1"/>
    <n v="1"/>
    <n v="855"/>
    <n v="855"/>
  </r>
  <r>
    <n v="1456"/>
    <s v="04-11-2024"/>
    <x v="5"/>
    <s v="C283"/>
    <x v="2"/>
    <x v="2"/>
    <x v="18"/>
    <n v="4"/>
    <n v="546"/>
    <n v="2184"/>
  </r>
  <r>
    <n v="1445"/>
    <s v="20-05-2024"/>
    <x v="9"/>
    <s v="C263"/>
    <x v="2"/>
    <x v="3"/>
    <x v="4"/>
    <n v="5"/>
    <n v="1510"/>
    <n v="7550"/>
  </r>
  <r>
    <n v="1448"/>
    <s v="18-01-2024"/>
    <x v="0"/>
    <s v="C132"/>
    <x v="2"/>
    <x v="3"/>
    <x v="12"/>
    <n v="4"/>
    <n v="4846"/>
    <n v="19384"/>
  </r>
  <r>
    <n v="1460"/>
    <s v="08-07-2024"/>
    <x v="11"/>
    <s v="C195"/>
    <x v="2"/>
    <x v="2"/>
    <x v="17"/>
    <n v="4"/>
    <n v="2775"/>
    <n v="11100"/>
  </r>
  <r>
    <n v="1116"/>
    <s v="14-01-2024"/>
    <x v="0"/>
    <s v="C288"/>
    <x v="2"/>
    <x v="1"/>
    <x v="6"/>
    <n v="3"/>
    <n v="2332"/>
    <n v="6996"/>
  </r>
  <r>
    <n v="1292"/>
    <s v="21-12-2024"/>
    <x v="7"/>
    <s v="C334"/>
    <x v="0"/>
    <x v="2"/>
    <x v="18"/>
    <n v="1"/>
    <n v="3903"/>
    <n v="3903"/>
  </r>
  <r>
    <n v="1089"/>
    <s v="15-12-2024"/>
    <x v="7"/>
    <s v="C347"/>
    <x v="3"/>
    <x v="0"/>
    <x v="13"/>
    <n v="3"/>
    <n v="1490"/>
    <n v="4470"/>
  </r>
  <r>
    <n v="1178"/>
    <s v="04-07-2024"/>
    <x v="11"/>
    <s v="C230"/>
    <x v="0"/>
    <x v="1"/>
    <x v="9"/>
    <n v="2"/>
    <n v="4247"/>
    <n v="8494"/>
  </r>
  <r>
    <n v="1377"/>
    <s v="27-08-2024"/>
    <x v="10"/>
    <s v="C305"/>
    <x v="2"/>
    <x v="1"/>
    <x v="1"/>
    <n v="3"/>
    <n v="3461"/>
    <n v="10383"/>
  </r>
  <r>
    <n v="1538"/>
    <s v="29-07-2024"/>
    <x v="11"/>
    <s v="C296"/>
    <x v="0"/>
    <x v="2"/>
    <x v="8"/>
    <n v="3"/>
    <n v="807"/>
    <n v="2421"/>
  </r>
  <r>
    <n v="1352"/>
    <s v="06-03-2024"/>
    <x v="2"/>
    <s v="C324"/>
    <x v="3"/>
    <x v="1"/>
    <x v="16"/>
    <n v="1"/>
    <n v="4444"/>
    <n v="4444"/>
  </r>
  <r>
    <n v="1330"/>
    <s v="29-12-2024"/>
    <x v="7"/>
    <s v="C157"/>
    <x v="2"/>
    <x v="0"/>
    <x v="19"/>
    <n v="3"/>
    <n v="1808"/>
    <n v="5424"/>
  </r>
  <r>
    <n v="1128"/>
    <s v="16-11-2024"/>
    <x v="5"/>
    <s v="C177"/>
    <x v="0"/>
    <x v="3"/>
    <x v="7"/>
    <n v="2"/>
    <n v="2965"/>
    <n v="5930"/>
  </r>
  <r>
    <n v="1029"/>
    <s v="11-02-2024"/>
    <x v="1"/>
    <s v="C111"/>
    <x v="3"/>
    <x v="0"/>
    <x v="0"/>
    <n v="4"/>
    <n v="4669"/>
    <n v="18676"/>
  </r>
  <r>
    <n v="1494"/>
    <s v="05-05-2024"/>
    <x v="9"/>
    <s v="C306"/>
    <x v="2"/>
    <x v="2"/>
    <x v="2"/>
    <n v="1"/>
    <n v="1494"/>
    <n v="1494"/>
  </r>
  <r>
    <n v="1208"/>
    <s v="23-06-2024"/>
    <x v="3"/>
    <s v="C255"/>
    <x v="2"/>
    <x v="1"/>
    <x v="14"/>
    <n v="4"/>
    <n v="1271"/>
    <n v="5084"/>
  </r>
  <r>
    <n v="1108"/>
    <s v="12-06-2024"/>
    <x v="3"/>
    <s v="C161"/>
    <x v="1"/>
    <x v="2"/>
    <x v="17"/>
    <n v="2"/>
    <n v="1354"/>
    <n v="2708"/>
  </r>
  <r>
    <n v="1393"/>
    <s v="11-11-2024"/>
    <x v="5"/>
    <s v="C207"/>
    <x v="2"/>
    <x v="1"/>
    <x v="16"/>
    <n v="2"/>
    <n v="1505"/>
    <n v="3010"/>
  </r>
  <r>
    <n v="1510"/>
    <s v="06-06-2024"/>
    <x v="3"/>
    <s v="C227"/>
    <x v="1"/>
    <x v="3"/>
    <x v="4"/>
    <n v="2"/>
    <n v="1962"/>
    <n v="3924"/>
  </r>
  <r>
    <n v="1288"/>
    <s v="10-09-2024"/>
    <x v="8"/>
    <s v="C252"/>
    <x v="2"/>
    <x v="2"/>
    <x v="2"/>
    <n v="4"/>
    <n v="1297"/>
    <n v="5188"/>
  </r>
  <r>
    <n v="1412"/>
    <s v="06-07-2024"/>
    <x v="11"/>
    <s v="C111"/>
    <x v="2"/>
    <x v="2"/>
    <x v="17"/>
    <n v="5"/>
    <n v="2564"/>
    <n v="12820"/>
  </r>
  <r>
    <n v="1563"/>
    <s v="23-05-2024"/>
    <x v="9"/>
    <s v="C311"/>
    <x v="0"/>
    <x v="3"/>
    <x v="12"/>
    <n v="3"/>
    <n v="2977"/>
    <n v="8931"/>
  </r>
  <r>
    <n v="1147"/>
    <s v="11-04-2024"/>
    <x v="6"/>
    <s v="C254"/>
    <x v="3"/>
    <x v="2"/>
    <x v="8"/>
    <n v="1"/>
    <n v="1322"/>
    <n v="1322"/>
  </r>
  <r>
    <n v="1531"/>
    <s v="21-08-2024"/>
    <x v="10"/>
    <s v="C138"/>
    <x v="0"/>
    <x v="1"/>
    <x v="14"/>
    <n v="4"/>
    <n v="2651"/>
    <n v="10604"/>
  </r>
  <r>
    <n v="1521"/>
    <s v="29-09-2024"/>
    <x v="8"/>
    <s v="C225"/>
    <x v="2"/>
    <x v="0"/>
    <x v="10"/>
    <n v="3"/>
    <n v="1097"/>
    <n v="3291"/>
  </r>
  <r>
    <n v="1027"/>
    <s v="01-11-2024"/>
    <x v="5"/>
    <s v="C221"/>
    <x v="3"/>
    <x v="0"/>
    <x v="19"/>
    <n v="5"/>
    <n v="4135"/>
    <n v="20675"/>
  </r>
  <r>
    <n v="1389"/>
    <s v="16-03-2024"/>
    <x v="2"/>
    <s v="C310"/>
    <x v="1"/>
    <x v="1"/>
    <x v="9"/>
    <n v="1"/>
    <n v="3812"/>
    <n v="3812"/>
  </r>
  <r>
    <n v="1208"/>
    <s v="29-07-2024"/>
    <x v="11"/>
    <s v="C228"/>
    <x v="1"/>
    <x v="2"/>
    <x v="17"/>
    <n v="5"/>
    <n v="2862"/>
    <n v="14310"/>
  </r>
  <r>
    <n v="1385"/>
    <s v="09-06-2024"/>
    <x v="3"/>
    <s v="C344"/>
    <x v="2"/>
    <x v="1"/>
    <x v="6"/>
    <n v="3"/>
    <n v="4166"/>
    <n v="12498"/>
  </r>
  <r>
    <n v="1571"/>
    <s v="01-06-2024"/>
    <x v="3"/>
    <s v="C157"/>
    <x v="1"/>
    <x v="0"/>
    <x v="13"/>
    <n v="3"/>
    <n v="4130"/>
    <n v="12390"/>
  </r>
  <r>
    <n v="1280"/>
    <s v="27-05-2024"/>
    <x v="9"/>
    <s v="C131"/>
    <x v="0"/>
    <x v="2"/>
    <x v="5"/>
    <n v="3"/>
    <n v="544"/>
    <n v="1632"/>
  </r>
  <r>
    <n v="1354"/>
    <s v="14-08-2024"/>
    <x v="10"/>
    <s v="C267"/>
    <x v="1"/>
    <x v="0"/>
    <x v="10"/>
    <n v="5"/>
    <n v="2421"/>
    <n v="12105"/>
  </r>
  <r>
    <n v="1140"/>
    <s v="25-02-2024"/>
    <x v="1"/>
    <s v="C257"/>
    <x v="1"/>
    <x v="1"/>
    <x v="16"/>
    <n v="2"/>
    <n v="630"/>
    <n v="1260"/>
  </r>
  <r>
    <n v="1483"/>
    <s v="21-02-2024"/>
    <x v="1"/>
    <s v="C274"/>
    <x v="0"/>
    <x v="1"/>
    <x v="9"/>
    <n v="4"/>
    <n v="4111"/>
    <n v="16444"/>
  </r>
  <r>
    <n v="1294"/>
    <s v="13-06-2024"/>
    <x v="3"/>
    <s v="C173"/>
    <x v="3"/>
    <x v="3"/>
    <x v="4"/>
    <n v="2"/>
    <n v="3623"/>
    <n v="7246"/>
  </r>
  <r>
    <n v="1037"/>
    <s v="22-07-2024"/>
    <x v="11"/>
    <s v="C301"/>
    <x v="3"/>
    <x v="2"/>
    <x v="18"/>
    <n v="1"/>
    <n v="2644"/>
    <n v="2644"/>
  </r>
  <r>
    <n v="1343"/>
    <s v="25-05-2024"/>
    <x v="9"/>
    <s v="C216"/>
    <x v="3"/>
    <x v="2"/>
    <x v="18"/>
    <n v="2"/>
    <n v="1122"/>
    <n v="2244"/>
  </r>
  <r>
    <n v="1263"/>
    <s v="05-04-2024"/>
    <x v="6"/>
    <s v="C103"/>
    <x v="0"/>
    <x v="0"/>
    <x v="13"/>
    <n v="5"/>
    <n v="3521"/>
    <n v="17605"/>
  </r>
  <r>
    <n v="1088"/>
    <s v="24-07-2024"/>
    <x v="11"/>
    <s v="C271"/>
    <x v="1"/>
    <x v="3"/>
    <x v="20"/>
    <n v="3"/>
    <n v="2232"/>
    <n v="6696"/>
  </r>
  <r>
    <n v="1457"/>
    <s v="16-05-2024"/>
    <x v="9"/>
    <s v="C344"/>
    <x v="3"/>
    <x v="0"/>
    <x v="13"/>
    <n v="3"/>
    <n v="2135"/>
    <n v="6405"/>
  </r>
  <r>
    <n v="1314"/>
    <s v="22-03-2024"/>
    <x v="2"/>
    <s v="C203"/>
    <x v="2"/>
    <x v="0"/>
    <x v="3"/>
    <n v="5"/>
    <n v="2009"/>
    <n v="10045"/>
  </r>
  <r>
    <n v="1156"/>
    <s v="20-08-2024"/>
    <x v="10"/>
    <s v="C291"/>
    <x v="1"/>
    <x v="0"/>
    <x v="10"/>
    <n v="2"/>
    <n v="870"/>
    <n v="1740"/>
  </r>
  <r>
    <n v="1370"/>
    <s v="09-02-2024"/>
    <x v="1"/>
    <s v="C334"/>
    <x v="0"/>
    <x v="3"/>
    <x v="4"/>
    <n v="2"/>
    <n v="2887"/>
    <n v="5774"/>
  </r>
  <r>
    <n v="1210"/>
    <s v="25-10-2024"/>
    <x v="4"/>
    <s v="C225"/>
    <x v="3"/>
    <x v="3"/>
    <x v="7"/>
    <n v="4"/>
    <n v="1280"/>
    <n v="5120"/>
  </r>
  <r>
    <n v="1059"/>
    <s v="13-10-2024"/>
    <x v="4"/>
    <s v="C218"/>
    <x v="3"/>
    <x v="0"/>
    <x v="3"/>
    <n v="1"/>
    <n v="1985"/>
    <n v="1985"/>
  </r>
  <r>
    <n v="1352"/>
    <s v="24-12-2024"/>
    <x v="7"/>
    <s v="C116"/>
    <x v="3"/>
    <x v="3"/>
    <x v="4"/>
    <n v="3"/>
    <n v="3549"/>
    <n v="10647"/>
  </r>
  <r>
    <n v="1430"/>
    <s v="10-07-2024"/>
    <x v="11"/>
    <s v="C328"/>
    <x v="0"/>
    <x v="2"/>
    <x v="5"/>
    <n v="1"/>
    <n v="4617"/>
    <n v="4617"/>
  </r>
  <r>
    <n v="1121"/>
    <s v="01-04-2024"/>
    <x v="6"/>
    <s v="C237"/>
    <x v="1"/>
    <x v="2"/>
    <x v="8"/>
    <n v="1"/>
    <n v="386"/>
    <n v="386"/>
  </r>
  <r>
    <n v="1557"/>
    <s v="05-08-2024"/>
    <x v="10"/>
    <s v="C236"/>
    <x v="1"/>
    <x v="2"/>
    <x v="18"/>
    <n v="3"/>
    <n v="1470"/>
    <n v="4410"/>
  </r>
  <r>
    <n v="1115"/>
    <s v="17-01-2024"/>
    <x v="0"/>
    <s v="C307"/>
    <x v="1"/>
    <x v="2"/>
    <x v="8"/>
    <n v="2"/>
    <n v="751"/>
    <n v="1502"/>
  </r>
  <r>
    <n v="1049"/>
    <s v="05-05-2024"/>
    <x v="9"/>
    <s v="C289"/>
    <x v="1"/>
    <x v="3"/>
    <x v="11"/>
    <n v="5"/>
    <n v="1979"/>
    <n v="9895"/>
  </r>
  <r>
    <n v="1143"/>
    <s v="14-09-2024"/>
    <x v="8"/>
    <s v="C174"/>
    <x v="2"/>
    <x v="1"/>
    <x v="1"/>
    <n v="2"/>
    <n v="2672"/>
    <n v="5344"/>
  </r>
  <r>
    <n v="1533"/>
    <s v="23-04-2024"/>
    <x v="6"/>
    <s v="C205"/>
    <x v="0"/>
    <x v="0"/>
    <x v="13"/>
    <n v="4"/>
    <n v="4753"/>
    <n v="19012"/>
  </r>
  <r>
    <n v="1390"/>
    <s v="25-09-2024"/>
    <x v="8"/>
    <s v="C181"/>
    <x v="3"/>
    <x v="2"/>
    <x v="5"/>
    <n v="4"/>
    <n v="1706"/>
    <n v="6824"/>
  </r>
  <r>
    <n v="1230"/>
    <s v="02-06-2024"/>
    <x v="3"/>
    <s v="C319"/>
    <x v="0"/>
    <x v="1"/>
    <x v="6"/>
    <n v="4"/>
    <n v="4765"/>
    <n v="19060"/>
  </r>
  <r>
    <n v="1261"/>
    <s v="14-04-2024"/>
    <x v="6"/>
    <s v="C184"/>
    <x v="2"/>
    <x v="3"/>
    <x v="11"/>
    <n v="5"/>
    <n v="1760"/>
    <n v="8800"/>
  </r>
  <r>
    <n v="1040"/>
    <s v="07-02-2024"/>
    <x v="1"/>
    <s v="C148"/>
    <x v="2"/>
    <x v="1"/>
    <x v="6"/>
    <n v="3"/>
    <n v="325"/>
    <n v="975"/>
  </r>
  <r>
    <n v="1120"/>
    <s v="02-09-2024"/>
    <x v="8"/>
    <s v="C334"/>
    <x v="0"/>
    <x v="1"/>
    <x v="1"/>
    <n v="2"/>
    <n v="4722"/>
    <n v="9444"/>
  </r>
  <r>
    <n v="1477"/>
    <s v="30-09-2024"/>
    <x v="8"/>
    <s v="C266"/>
    <x v="2"/>
    <x v="0"/>
    <x v="13"/>
    <n v="5"/>
    <n v="4273"/>
    <n v="21365"/>
  </r>
  <r>
    <n v="1480"/>
    <s v="12-06-2024"/>
    <x v="3"/>
    <s v="C334"/>
    <x v="0"/>
    <x v="1"/>
    <x v="14"/>
    <n v="1"/>
    <n v="4808"/>
    <n v="4808"/>
  </r>
  <r>
    <n v="1016"/>
    <s v="13-05-2024"/>
    <x v="9"/>
    <s v="C241"/>
    <x v="1"/>
    <x v="2"/>
    <x v="2"/>
    <n v="3"/>
    <n v="2084"/>
    <n v="6252"/>
  </r>
  <r>
    <n v="1511"/>
    <s v="08-10-2024"/>
    <x v="4"/>
    <s v="C267"/>
    <x v="1"/>
    <x v="0"/>
    <x v="13"/>
    <n v="4"/>
    <n v="1578"/>
    <n v="6312"/>
  </r>
  <r>
    <n v="1143"/>
    <s v="06-10-2024"/>
    <x v="4"/>
    <s v="C225"/>
    <x v="3"/>
    <x v="1"/>
    <x v="1"/>
    <n v="1"/>
    <n v="597"/>
    <n v="597"/>
  </r>
  <r>
    <n v="1236"/>
    <s v="04-02-2024"/>
    <x v="1"/>
    <s v="C281"/>
    <x v="1"/>
    <x v="1"/>
    <x v="9"/>
    <n v="3"/>
    <n v="695"/>
    <n v="2085"/>
  </r>
  <r>
    <n v="1494"/>
    <s v="03-12-2024"/>
    <x v="7"/>
    <s v="C224"/>
    <x v="3"/>
    <x v="3"/>
    <x v="4"/>
    <n v="1"/>
    <n v="4536"/>
    <n v="4536"/>
  </r>
  <r>
    <n v="1293"/>
    <s v="09-01-2024"/>
    <x v="0"/>
    <s v="C228"/>
    <x v="2"/>
    <x v="2"/>
    <x v="18"/>
    <n v="5"/>
    <n v="1419"/>
    <n v="7095"/>
  </r>
  <r>
    <n v="1258"/>
    <s v="30-06-2024"/>
    <x v="3"/>
    <s v="C168"/>
    <x v="0"/>
    <x v="2"/>
    <x v="17"/>
    <n v="4"/>
    <n v="4828"/>
    <n v="19312"/>
  </r>
  <r>
    <n v="1307"/>
    <s v="16-12-2024"/>
    <x v="7"/>
    <s v="C311"/>
    <x v="0"/>
    <x v="3"/>
    <x v="4"/>
    <n v="4"/>
    <n v="3289"/>
    <n v="13156"/>
  </r>
  <r>
    <n v="1009"/>
    <s v="25-12-2024"/>
    <x v="7"/>
    <s v="C143"/>
    <x v="2"/>
    <x v="3"/>
    <x v="11"/>
    <n v="5"/>
    <n v="981"/>
    <n v="4905"/>
  </r>
  <r>
    <n v="1235"/>
    <s v="18-04-2024"/>
    <x v="6"/>
    <s v="C330"/>
    <x v="2"/>
    <x v="2"/>
    <x v="2"/>
    <n v="3"/>
    <n v="4648"/>
    <n v="13944"/>
  </r>
  <r>
    <n v="1322"/>
    <s v="09-01-2024"/>
    <x v="0"/>
    <s v="C346"/>
    <x v="0"/>
    <x v="1"/>
    <x v="1"/>
    <n v="1"/>
    <n v="2651"/>
    <n v="2651"/>
  </r>
  <r>
    <n v="1398"/>
    <s v="12-12-2024"/>
    <x v="7"/>
    <s v="C329"/>
    <x v="2"/>
    <x v="0"/>
    <x v="10"/>
    <n v="5"/>
    <n v="3033"/>
    <n v="15165"/>
  </r>
  <r>
    <n v="1077"/>
    <s v="23-06-2024"/>
    <x v="3"/>
    <s v="C254"/>
    <x v="3"/>
    <x v="2"/>
    <x v="2"/>
    <n v="4"/>
    <n v="4219"/>
    <n v="16876"/>
  </r>
  <r>
    <n v="1384"/>
    <s v="09-08-2024"/>
    <x v="10"/>
    <s v="C147"/>
    <x v="1"/>
    <x v="2"/>
    <x v="17"/>
    <n v="1"/>
    <n v="872"/>
    <n v="872"/>
  </r>
  <r>
    <n v="1157"/>
    <s v="18-07-2024"/>
    <x v="11"/>
    <s v="C181"/>
    <x v="3"/>
    <x v="0"/>
    <x v="3"/>
    <n v="3"/>
    <n v="3843"/>
    <n v="11529"/>
  </r>
  <r>
    <n v="1135"/>
    <s v="14-02-2024"/>
    <x v="1"/>
    <s v="C147"/>
    <x v="2"/>
    <x v="2"/>
    <x v="5"/>
    <n v="1"/>
    <n v="934"/>
    <n v="934"/>
  </r>
  <r>
    <n v="1332"/>
    <s v="16-07-2024"/>
    <x v="11"/>
    <s v="C103"/>
    <x v="2"/>
    <x v="0"/>
    <x v="10"/>
    <n v="5"/>
    <n v="2188"/>
    <n v="10940"/>
  </r>
  <r>
    <n v="1389"/>
    <s v="27-03-2024"/>
    <x v="2"/>
    <s v="C135"/>
    <x v="1"/>
    <x v="0"/>
    <x v="13"/>
    <n v="2"/>
    <n v="718"/>
    <n v="1436"/>
  </r>
  <r>
    <n v="1306"/>
    <s v="04-09-2024"/>
    <x v="8"/>
    <s v="C300"/>
    <x v="1"/>
    <x v="3"/>
    <x v="15"/>
    <n v="4"/>
    <n v="1801"/>
    <n v="7204"/>
  </r>
  <r>
    <n v="1006"/>
    <s v="21-07-2024"/>
    <x v="11"/>
    <s v="C185"/>
    <x v="2"/>
    <x v="2"/>
    <x v="2"/>
    <n v="4"/>
    <n v="1315"/>
    <n v="5260"/>
  </r>
  <r>
    <n v="1205"/>
    <s v="02-09-2024"/>
    <x v="8"/>
    <s v="C180"/>
    <x v="3"/>
    <x v="1"/>
    <x v="6"/>
    <n v="4"/>
    <n v="4917"/>
    <n v="19668"/>
  </r>
  <r>
    <n v="1287"/>
    <s v="20-07-2024"/>
    <x v="11"/>
    <s v="C193"/>
    <x v="0"/>
    <x v="3"/>
    <x v="7"/>
    <n v="5"/>
    <n v="420"/>
    <n v="2100"/>
  </r>
  <r>
    <n v="1214"/>
    <s v="12-08-2024"/>
    <x v="10"/>
    <s v="C304"/>
    <x v="1"/>
    <x v="0"/>
    <x v="3"/>
    <n v="2"/>
    <n v="2680"/>
    <n v="5360"/>
  </r>
  <r>
    <n v="1433"/>
    <s v="12-07-2024"/>
    <x v="11"/>
    <s v="C118"/>
    <x v="0"/>
    <x v="2"/>
    <x v="8"/>
    <n v="5"/>
    <n v="4350"/>
    <n v="21750"/>
  </r>
  <r>
    <n v="1428"/>
    <s v="05-10-2024"/>
    <x v="4"/>
    <s v="C109"/>
    <x v="2"/>
    <x v="0"/>
    <x v="19"/>
    <n v="2"/>
    <n v="3108"/>
    <n v="6216"/>
  </r>
  <r>
    <n v="1576"/>
    <s v="26-11-2024"/>
    <x v="5"/>
    <s v="C273"/>
    <x v="2"/>
    <x v="2"/>
    <x v="2"/>
    <n v="1"/>
    <n v="1007"/>
    <n v="1007"/>
  </r>
  <r>
    <n v="1531"/>
    <s v="12-10-2024"/>
    <x v="4"/>
    <s v="C248"/>
    <x v="0"/>
    <x v="1"/>
    <x v="6"/>
    <n v="4"/>
    <n v="4299"/>
    <n v="17196"/>
  </r>
  <r>
    <n v="1494"/>
    <s v="23-02-2024"/>
    <x v="1"/>
    <s v="C175"/>
    <x v="0"/>
    <x v="2"/>
    <x v="17"/>
    <n v="3"/>
    <n v="2755"/>
    <n v="8265"/>
  </r>
  <r>
    <n v="1533"/>
    <s v="04-09-2024"/>
    <x v="8"/>
    <s v="C189"/>
    <x v="1"/>
    <x v="2"/>
    <x v="17"/>
    <n v="3"/>
    <n v="750"/>
    <n v="2250"/>
  </r>
  <r>
    <n v="1117"/>
    <s v="12-01-2024"/>
    <x v="0"/>
    <s v="C317"/>
    <x v="1"/>
    <x v="0"/>
    <x v="3"/>
    <n v="5"/>
    <n v="1629"/>
    <n v="8145"/>
  </r>
  <r>
    <n v="1436"/>
    <s v="24-08-2024"/>
    <x v="10"/>
    <s v="C159"/>
    <x v="0"/>
    <x v="2"/>
    <x v="18"/>
    <n v="4"/>
    <n v="439"/>
    <n v="1756"/>
  </r>
  <r>
    <n v="1460"/>
    <s v="30-10-2024"/>
    <x v="4"/>
    <s v="C209"/>
    <x v="1"/>
    <x v="2"/>
    <x v="17"/>
    <n v="3"/>
    <n v="712"/>
    <n v="2136"/>
  </r>
  <r>
    <n v="1549"/>
    <s v="05-04-2024"/>
    <x v="6"/>
    <s v="C193"/>
    <x v="2"/>
    <x v="0"/>
    <x v="0"/>
    <n v="3"/>
    <n v="4209"/>
    <n v="12627"/>
  </r>
  <r>
    <n v="1397"/>
    <s v="08-11-2024"/>
    <x v="5"/>
    <s v="C200"/>
    <x v="1"/>
    <x v="3"/>
    <x v="15"/>
    <n v="5"/>
    <n v="1613"/>
    <n v="8065"/>
  </r>
  <r>
    <n v="1304"/>
    <s v="10-11-2024"/>
    <x v="5"/>
    <s v="C251"/>
    <x v="2"/>
    <x v="3"/>
    <x v="12"/>
    <n v="2"/>
    <n v="2701"/>
    <n v="5402"/>
  </r>
  <r>
    <n v="1144"/>
    <s v="18-09-2024"/>
    <x v="8"/>
    <s v="C199"/>
    <x v="0"/>
    <x v="2"/>
    <x v="8"/>
    <n v="4"/>
    <n v="1721"/>
    <n v="6884"/>
  </r>
  <r>
    <n v="1177"/>
    <s v="11-10-2024"/>
    <x v="4"/>
    <s v="C142"/>
    <x v="0"/>
    <x v="2"/>
    <x v="2"/>
    <n v="3"/>
    <n v="3894"/>
    <n v="11682"/>
  </r>
  <r>
    <n v="1009"/>
    <s v="05-09-2024"/>
    <x v="8"/>
    <s v="C134"/>
    <x v="0"/>
    <x v="1"/>
    <x v="6"/>
    <n v="4"/>
    <n v="3604"/>
    <n v="14416"/>
  </r>
  <r>
    <n v="1171"/>
    <s v="12-02-2024"/>
    <x v="1"/>
    <s v="C244"/>
    <x v="3"/>
    <x v="3"/>
    <x v="12"/>
    <n v="3"/>
    <n v="2041"/>
    <n v="6123"/>
  </r>
  <r>
    <n v="1468"/>
    <s v="16-10-2024"/>
    <x v="4"/>
    <s v="C290"/>
    <x v="2"/>
    <x v="2"/>
    <x v="8"/>
    <n v="3"/>
    <n v="4649"/>
    <n v="13947"/>
  </r>
  <r>
    <n v="1042"/>
    <s v="13-08-2024"/>
    <x v="10"/>
    <s v="C239"/>
    <x v="1"/>
    <x v="1"/>
    <x v="6"/>
    <n v="3"/>
    <n v="464"/>
    <n v="1392"/>
  </r>
  <r>
    <n v="1089"/>
    <s v="12-08-2024"/>
    <x v="10"/>
    <s v="C321"/>
    <x v="2"/>
    <x v="3"/>
    <x v="12"/>
    <n v="5"/>
    <n v="3707"/>
    <n v="18535"/>
  </r>
  <r>
    <n v="1211"/>
    <s v="15-04-2024"/>
    <x v="6"/>
    <s v="C306"/>
    <x v="3"/>
    <x v="3"/>
    <x v="7"/>
    <n v="5"/>
    <n v="4613"/>
    <n v="23065"/>
  </r>
  <r>
    <n v="1299"/>
    <s v="28-05-2024"/>
    <x v="9"/>
    <s v="C246"/>
    <x v="0"/>
    <x v="0"/>
    <x v="19"/>
    <n v="4"/>
    <n v="685"/>
    <n v="2740"/>
  </r>
  <r>
    <n v="1129"/>
    <s v="25-12-2024"/>
    <x v="7"/>
    <s v="C321"/>
    <x v="2"/>
    <x v="1"/>
    <x v="16"/>
    <n v="2"/>
    <n v="3417"/>
    <n v="6834"/>
  </r>
  <r>
    <n v="1275"/>
    <s v="17-11-2024"/>
    <x v="5"/>
    <s v="C206"/>
    <x v="2"/>
    <x v="2"/>
    <x v="5"/>
    <n v="4"/>
    <n v="4423"/>
    <n v="17692"/>
  </r>
  <r>
    <n v="1377"/>
    <s v="20-08-2024"/>
    <x v="10"/>
    <s v="C343"/>
    <x v="2"/>
    <x v="2"/>
    <x v="2"/>
    <n v="4"/>
    <n v="3134"/>
    <n v="12536"/>
  </r>
  <r>
    <n v="1407"/>
    <s v="21-04-2024"/>
    <x v="6"/>
    <s v="C347"/>
    <x v="3"/>
    <x v="2"/>
    <x v="18"/>
    <n v="3"/>
    <n v="2523"/>
    <n v="7569"/>
  </r>
  <r>
    <n v="1579"/>
    <s v="05-09-2024"/>
    <x v="8"/>
    <s v="C301"/>
    <x v="2"/>
    <x v="0"/>
    <x v="3"/>
    <n v="4"/>
    <n v="333"/>
    <n v="1332"/>
  </r>
  <r>
    <n v="1451"/>
    <s v="21-08-2024"/>
    <x v="10"/>
    <s v="C100"/>
    <x v="3"/>
    <x v="2"/>
    <x v="18"/>
    <n v="2"/>
    <n v="2444"/>
    <n v="4888"/>
  </r>
  <r>
    <n v="1084"/>
    <s v="09-07-2024"/>
    <x v="11"/>
    <s v="C270"/>
    <x v="3"/>
    <x v="1"/>
    <x v="9"/>
    <n v="2"/>
    <n v="3716"/>
    <n v="7432"/>
  </r>
  <r>
    <n v="1001"/>
    <s v="19-04-2024"/>
    <x v="6"/>
    <s v="C222"/>
    <x v="1"/>
    <x v="3"/>
    <x v="12"/>
    <n v="1"/>
    <n v="266"/>
    <n v="266"/>
  </r>
  <r>
    <n v="1432"/>
    <s v="21-12-2024"/>
    <x v="7"/>
    <s v="C133"/>
    <x v="0"/>
    <x v="2"/>
    <x v="17"/>
    <n v="1"/>
    <n v="1039"/>
    <n v="1039"/>
  </r>
  <r>
    <n v="1306"/>
    <s v="11-03-2024"/>
    <x v="2"/>
    <s v="C197"/>
    <x v="3"/>
    <x v="1"/>
    <x v="16"/>
    <n v="5"/>
    <n v="1544"/>
    <n v="7720"/>
  </r>
  <r>
    <n v="1155"/>
    <s v="29-07-2024"/>
    <x v="11"/>
    <s v="C257"/>
    <x v="2"/>
    <x v="2"/>
    <x v="18"/>
    <n v="2"/>
    <n v="1208"/>
    <n v="2416"/>
  </r>
  <r>
    <n v="1439"/>
    <s v="10-06-2024"/>
    <x v="3"/>
    <s v="C302"/>
    <x v="2"/>
    <x v="1"/>
    <x v="16"/>
    <n v="2"/>
    <n v="4733"/>
    <n v="9466"/>
  </r>
  <r>
    <n v="1291"/>
    <s v="19-12-2024"/>
    <x v="7"/>
    <s v="C106"/>
    <x v="0"/>
    <x v="0"/>
    <x v="0"/>
    <n v="3"/>
    <n v="647"/>
    <n v="1941"/>
  </r>
  <r>
    <n v="1245"/>
    <s v="10-09-2024"/>
    <x v="8"/>
    <s v="C198"/>
    <x v="2"/>
    <x v="3"/>
    <x v="12"/>
    <n v="5"/>
    <n v="298"/>
    <n v="1490"/>
  </r>
  <r>
    <n v="1135"/>
    <s v="17-07-2024"/>
    <x v="11"/>
    <s v="C320"/>
    <x v="4"/>
    <x v="2"/>
    <x v="2"/>
    <n v="1"/>
    <n v="336"/>
    <n v="336"/>
  </r>
  <r>
    <n v="1220"/>
    <s v="21-01-2024"/>
    <x v="0"/>
    <s v="C336"/>
    <x v="0"/>
    <x v="3"/>
    <x v="11"/>
    <n v="4"/>
    <n v="3495"/>
    <n v="13980"/>
  </r>
  <r>
    <n v="1156"/>
    <s v="22-05-2024"/>
    <x v="9"/>
    <s v="C121"/>
    <x v="0"/>
    <x v="0"/>
    <x v="3"/>
    <n v="5"/>
    <n v="2876"/>
    <n v="14380"/>
  </r>
  <r>
    <n v="1067"/>
    <s v="07-06-2024"/>
    <x v="3"/>
    <s v="C278"/>
    <x v="1"/>
    <x v="2"/>
    <x v="18"/>
    <n v="1"/>
    <n v="3759"/>
    <n v="3759"/>
  </r>
  <r>
    <n v="1056"/>
    <s v="07-06-2024"/>
    <x v="3"/>
    <s v="C270"/>
    <x v="0"/>
    <x v="1"/>
    <x v="9"/>
    <n v="1"/>
    <n v="1542"/>
    <n v="1542"/>
  </r>
  <r>
    <n v="1529"/>
    <s v="12-05-2024"/>
    <x v="9"/>
    <s v="C142"/>
    <x v="2"/>
    <x v="0"/>
    <x v="0"/>
    <n v="1"/>
    <n v="2944"/>
    <n v="2944"/>
  </r>
  <r>
    <n v="1065"/>
    <s v="14-05-2024"/>
    <x v="9"/>
    <s v="C282"/>
    <x v="2"/>
    <x v="3"/>
    <x v="11"/>
    <n v="1"/>
    <n v="4292"/>
    <n v="4292"/>
  </r>
  <r>
    <n v="1161"/>
    <s v="10-05-2024"/>
    <x v="9"/>
    <s v="C297"/>
    <x v="1"/>
    <x v="3"/>
    <x v="7"/>
    <n v="5"/>
    <n v="221"/>
    <n v="1105"/>
  </r>
  <r>
    <n v="1250"/>
    <s v="24-01-2024"/>
    <x v="0"/>
    <s v="C220"/>
    <x v="0"/>
    <x v="0"/>
    <x v="10"/>
    <n v="1"/>
    <n v="4729"/>
    <n v="4729"/>
  </r>
  <r>
    <n v="1429"/>
    <s v="24-04-2024"/>
    <x v="6"/>
    <s v="C182"/>
    <x v="3"/>
    <x v="1"/>
    <x v="6"/>
    <n v="1"/>
    <n v="4882"/>
    <n v="4882"/>
  </r>
  <r>
    <n v="1053"/>
    <s v="01-04-2024"/>
    <x v="6"/>
    <s v="C157"/>
    <x v="1"/>
    <x v="3"/>
    <x v="11"/>
    <n v="3"/>
    <n v="2745"/>
    <n v="8235"/>
  </r>
  <r>
    <n v="1008"/>
    <s v="07-07-2024"/>
    <x v="11"/>
    <s v="C151"/>
    <x v="1"/>
    <x v="0"/>
    <x v="19"/>
    <n v="4"/>
    <n v="3216"/>
    <n v="12864"/>
  </r>
  <r>
    <n v="1200"/>
    <s v="06-10-2024"/>
    <x v="4"/>
    <s v="C294"/>
    <x v="0"/>
    <x v="1"/>
    <x v="16"/>
    <n v="1"/>
    <n v="2108"/>
    <n v="2108"/>
  </r>
  <r>
    <n v="1009"/>
    <s v="20-06-2024"/>
    <x v="3"/>
    <s v="C100"/>
    <x v="1"/>
    <x v="2"/>
    <x v="2"/>
    <n v="5"/>
    <n v="2151"/>
    <n v="10755"/>
  </r>
  <r>
    <n v="1145"/>
    <s v="30-12-2024"/>
    <x v="7"/>
    <s v="C171"/>
    <x v="0"/>
    <x v="3"/>
    <x v="4"/>
    <n v="3"/>
    <n v="3955"/>
    <n v="11865"/>
  </r>
  <r>
    <n v="1097"/>
    <s v="15-09-2024"/>
    <x v="8"/>
    <s v="C134"/>
    <x v="0"/>
    <x v="2"/>
    <x v="17"/>
    <n v="2"/>
    <n v="2139"/>
    <n v="4278"/>
  </r>
  <r>
    <n v="1402"/>
    <s v="24-12-2024"/>
    <x v="7"/>
    <s v="C312"/>
    <x v="3"/>
    <x v="0"/>
    <x v="13"/>
    <n v="2"/>
    <n v="811"/>
    <n v="1622"/>
  </r>
  <r>
    <n v="1598"/>
    <s v="25-02-2024"/>
    <x v="1"/>
    <s v="C139"/>
    <x v="1"/>
    <x v="3"/>
    <x v="12"/>
    <n v="3"/>
    <n v="3530"/>
    <n v="10590"/>
  </r>
  <r>
    <n v="1212"/>
    <s v="19-08-2024"/>
    <x v="10"/>
    <s v="C178"/>
    <x v="2"/>
    <x v="2"/>
    <x v="2"/>
    <n v="2"/>
    <n v="2692"/>
    <n v="5384"/>
  </r>
  <r>
    <n v="1041"/>
    <s v="20-04-2024"/>
    <x v="6"/>
    <s v="C313"/>
    <x v="1"/>
    <x v="0"/>
    <x v="0"/>
    <n v="3"/>
    <n v="3446"/>
    <n v="10338"/>
  </r>
  <r>
    <n v="1266"/>
    <s v="30-03-2024"/>
    <x v="2"/>
    <s v="C107"/>
    <x v="2"/>
    <x v="2"/>
    <x v="5"/>
    <n v="4"/>
    <n v="1034"/>
    <n v="4136"/>
  </r>
  <r>
    <n v="1012"/>
    <s v="01-02-2024"/>
    <x v="1"/>
    <s v="C312"/>
    <x v="0"/>
    <x v="1"/>
    <x v="16"/>
    <n v="3"/>
    <n v="888"/>
    <n v="2664"/>
  </r>
  <r>
    <n v="1076"/>
    <s v="12-01-2024"/>
    <x v="0"/>
    <s v="C116"/>
    <x v="2"/>
    <x v="1"/>
    <x v="6"/>
    <n v="3"/>
    <n v="1203"/>
    <n v="3609"/>
  </r>
  <r>
    <n v="1172"/>
    <s v="20-10-2024"/>
    <x v="4"/>
    <s v="C210"/>
    <x v="0"/>
    <x v="2"/>
    <x v="5"/>
    <n v="4"/>
    <n v="1615"/>
    <n v="6460"/>
  </r>
  <r>
    <n v="1281"/>
    <s v="23-05-2024"/>
    <x v="9"/>
    <s v="C214"/>
    <x v="3"/>
    <x v="1"/>
    <x v="9"/>
    <n v="4"/>
    <n v="3575"/>
    <n v="14300"/>
  </r>
  <r>
    <n v="1089"/>
    <s v="23-05-2024"/>
    <x v="9"/>
    <s v="C198"/>
    <x v="1"/>
    <x v="1"/>
    <x v="6"/>
    <n v="5"/>
    <n v="359"/>
    <n v="1795"/>
  </r>
  <r>
    <n v="1367"/>
    <s v="02-09-2024"/>
    <x v="8"/>
    <s v="C239"/>
    <x v="0"/>
    <x v="2"/>
    <x v="2"/>
    <n v="3"/>
    <n v="1673"/>
    <n v="5019"/>
  </r>
  <r>
    <n v="1030"/>
    <s v="23-05-2024"/>
    <x v="9"/>
    <s v="C114"/>
    <x v="1"/>
    <x v="2"/>
    <x v="8"/>
    <n v="2"/>
    <n v="1020"/>
    <n v="2040"/>
  </r>
  <r>
    <n v="1546"/>
    <s v="29-01-2024"/>
    <x v="0"/>
    <s v="C295"/>
    <x v="2"/>
    <x v="1"/>
    <x v="1"/>
    <n v="2"/>
    <n v="1642"/>
    <n v="3284"/>
  </r>
  <r>
    <n v="1367"/>
    <s v="29-10-2024"/>
    <x v="4"/>
    <s v="C107"/>
    <x v="1"/>
    <x v="0"/>
    <x v="19"/>
    <n v="4"/>
    <n v="4641"/>
    <n v="18564"/>
  </r>
  <r>
    <n v="1092"/>
    <s v="29-01-2024"/>
    <x v="0"/>
    <s v="C159"/>
    <x v="3"/>
    <x v="1"/>
    <x v="9"/>
    <n v="3"/>
    <n v="1850"/>
    <n v="5550"/>
  </r>
  <r>
    <n v="1181"/>
    <s v="14-06-2024"/>
    <x v="3"/>
    <s v="C115"/>
    <x v="2"/>
    <x v="3"/>
    <x v="12"/>
    <n v="5"/>
    <n v="3189"/>
    <n v="15945"/>
  </r>
  <r>
    <n v="1405"/>
    <s v="27-10-2024"/>
    <x v="4"/>
    <s v="C125"/>
    <x v="0"/>
    <x v="0"/>
    <x v="13"/>
    <n v="2"/>
    <n v="3778"/>
    <n v="7556"/>
  </r>
  <r>
    <n v="1324"/>
    <s v="30-03-2024"/>
    <x v="2"/>
    <s v="C281"/>
    <x v="0"/>
    <x v="0"/>
    <x v="0"/>
    <n v="3"/>
    <n v="2612"/>
    <n v="7836"/>
  </r>
  <r>
    <n v="1586"/>
    <s v="19-07-2024"/>
    <x v="11"/>
    <s v="C317"/>
    <x v="1"/>
    <x v="3"/>
    <x v="12"/>
    <n v="5"/>
    <n v="1052"/>
    <n v="5260"/>
  </r>
  <r>
    <n v="1079"/>
    <s v="01-05-2024"/>
    <x v="9"/>
    <s v="C188"/>
    <x v="2"/>
    <x v="0"/>
    <x v="0"/>
    <n v="4"/>
    <n v="293"/>
    <n v="1172"/>
  </r>
  <r>
    <n v="1069"/>
    <s v="28-06-2024"/>
    <x v="3"/>
    <s v="C165"/>
    <x v="0"/>
    <x v="3"/>
    <x v="4"/>
    <n v="4"/>
    <n v="3637"/>
    <n v="14548"/>
  </r>
  <r>
    <n v="1504"/>
    <s v="12-07-2024"/>
    <x v="11"/>
    <s v="C189"/>
    <x v="1"/>
    <x v="2"/>
    <x v="17"/>
    <n v="2"/>
    <n v="3896"/>
    <n v="7792"/>
  </r>
  <r>
    <n v="1301"/>
    <s v="11-01-2024"/>
    <x v="0"/>
    <s v="C181"/>
    <x v="2"/>
    <x v="0"/>
    <x v="3"/>
    <n v="2"/>
    <n v="3275"/>
    <n v="6550"/>
  </r>
  <r>
    <n v="1095"/>
    <s v="22-06-2024"/>
    <x v="3"/>
    <s v="C252"/>
    <x v="0"/>
    <x v="2"/>
    <x v="17"/>
    <n v="5"/>
    <n v="3756"/>
    <n v="18780"/>
  </r>
  <r>
    <n v="1210"/>
    <s v="07-04-2024"/>
    <x v="6"/>
    <s v="C204"/>
    <x v="1"/>
    <x v="0"/>
    <x v="13"/>
    <n v="1"/>
    <n v="606"/>
    <n v="606"/>
  </r>
  <r>
    <n v="1502"/>
    <s v="19-03-2024"/>
    <x v="2"/>
    <s v="C113"/>
    <x v="2"/>
    <x v="0"/>
    <x v="3"/>
    <n v="3"/>
    <n v="4134"/>
    <n v="12402"/>
  </r>
  <r>
    <n v="1174"/>
    <s v="22-11-2024"/>
    <x v="5"/>
    <s v="C174"/>
    <x v="3"/>
    <x v="3"/>
    <x v="11"/>
    <n v="4"/>
    <n v="4057"/>
    <n v="16228"/>
  </r>
  <r>
    <n v="1093"/>
    <s v="24-11-2024"/>
    <x v="5"/>
    <s v="C239"/>
    <x v="0"/>
    <x v="2"/>
    <x v="18"/>
    <n v="3"/>
    <n v="1728"/>
    <n v="5184"/>
  </r>
  <r>
    <n v="1476"/>
    <s v="14-05-2024"/>
    <x v="9"/>
    <s v="C157"/>
    <x v="0"/>
    <x v="0"/>
    <x v="19"/>
    <n v="1"/>
    <n v="902"/>
    <n v="902"/>
  </r>
  <r>
    <n v="1423"/>
    <s v="28-10-2024"/>
    <x v="4"/>
    <s v="C158"/>
    <x v="1"/>
    <x v="3"/>
    <x v="11"/>
    <n v="5"/>
    <n v="2130"/>
    <n v="10650"/>
  </r>
  <r>
    <n v="1035"/>
    <s v="14-09-2024"/>
    <x v="8"/>
    <s v="C246"/>
    <x v="0"/>
    <x v="1"/>
    <x v="9"/>
    <n v="2"/>
    <n v="1935"/>
    <n v="3870"/>
  </r>
  <r>
    <n v="1433"/>
    <s v="10-02-2024"/>
    <x v="1"/>
    <s v="C274"/>
    <x v="3"/>
    <x v="2"/>
    <x v="18"/>
    <n v="3"/>
    <n v="748"/>
    <n v="2244"/>
  </r>
  <r>
    <n v="1565"/>
    <s v="15-06-2024"/>
    <x v="3"/>
    <s v="C319"/>
    <x v="3"/>
    <x v="0"/>
    <x v="19"/>
    <n v="5"/>
    <n v="4480"/>
    <n v="22400"/>
  </r>
  <r>
    <n v="1153"/>
    <s v="16-03-2024"/>
    <x v="2"/>
    <s v="C245"/>
    <x v="3"/>
    <x v="3"/>
    <x v="4"/>
    <n v="5"/>
    <n v="3016"/>
    <n v="15080"/>
  </r>
  <r>
    <n v="1497"/>
    <s v="19-10-2024"/>
    <x v="4"/>
    <s v="C255"/>
    <x v="3"/>
    <x v="2"/>
    <x v="17"/>
    <n v="4"/>
    <n v="1378"/>
    <n v="5512"/>
  </r>
  <r>
    <n v="1411"/>
    <s v="20-01-2024"/>
    <x v="0"/>
    <s v="C201"/>
    <x v="1"/>
    <x v="0"/>
    <x v="0"/>
    <n v="3"/>
    <n v="3251"/>
    <n v="9753"/>
  </r>
  <r>
    <n v="1310"/>
    <s v="08-06-2024"/>
    <x v="3"/>
    <s v="C171"/>
    <x v="0"/>
    <x v="2"/>
    <x v="17"/>
    <n v="3"/>
    <n v="3829"/>
    <n v="11487"/>
  </r>
  <r>
    <n v="1426"/>
    <s v="05-11-2024"/>
    <x v="5"/>
    <s v="C265"/>
    <x v="1"/>
    <x v="3"/>
    <x v="12"/>
    <n v="4"/>
    <n v="4168"/>
    <n v="16672"/>
  </r>
  <r>
    <n v="1057"/>
    <s v="20-09-2024"/>
    <x v="8"/>
    <s v="C302"/>
    <x v="0"/>
    <x v="1"/>
    <x v="9"/>
    <n v="2"/>
    <n v="4494"/>
    <n v="8988"/>
  </r>
  <r>
    <n v="1197"/>
    <s v="12-04-2024"/>
    <x v="6"/>
    <s v="C314"/>
    <x v="1"/>
    <x v="3"/>
    <x v="12"/>
    <n v="1"/>
    <n v="3152"/>
    <n v="3152"/>
  </r>
  <r>
    <n v="1475"/>
    <s v="15-09-2024"/>
    <x v="8"/>
    <s v="C201"/>
    <x v="2"/>
    <x v="3"/>
    <x v="4"/>
    <n v="4"/>
    <n v="3854"/>
    <n v="15416"/>
  </r>
  <r>
    <n v="1600"/>
    <s v="09-10-2024"/>
    <x v="4"/>
    <s v="C189"/>
    <x v="2"/>
    <x v="0"/>
    <x v="0"/>
    <n v="3"/>
    <n v="424"/>
    <n v="1272"/>
  </r>
  <r>
    <n v="1585"/>
    <s v="19-04-2024"/>
    <x v="6"/>
    <s v="C319"/>
    <x v="3"/>
    <x v="1"/>
    <x v="16"/>
    <n v="4"/>
    <n v="4404"/>
    <n v="17616"/>
  </r>
  <r>
    <n v="1009"/>
    <s v="30-08-2024"/>
    <x v="10"/>
    <s v="C333"/>
    <x v="1"/>
    <x v="1"/>
    <x v="16"/>
    <n v="3"/>
    <n v="2702"/>
    <n v="8106"/>
  </r>
  <r>
    <n v="1281"/>
    <s v="04-08-2024"/>
    <x v="10"/>
    <s v="C329"/>
    <x v="3"/>
    <x v="2"/>
    <x v="2"/>
    <n v="2"/>
    <n v="4023"/>
    <n v="8046"/>
  </r>
  <r>
    <n v="1406"/>
    <s v="26-10-2024"/>
    <x v="4"/>
    <s v="C126"/>
    <x v="3"/>
    <x v="3"/>
    <x v="7"/>
    <n v="3"/>
    <n v="1085"/>
    <n v="3255"/>
  </r>
  <r>
    <n v="1283"/>
    <s v="23-11-2024"/>
    <x v="5"/>
    <s v="C183"/>
    <x v="1"/>
    <x v="0"/>
    <x v="13"/>
    <n v="2"/>
    <n v="4437"/>
    <n v="8874"/>
  </r>
  <r>
    <n v="1413"/>
    <s v="04-12-2024"/>
    <x v="7"/>
    <s v="C181"/>
    <x v="3"/>
    <x v="1"/>
    <x v="9"/>
    <n v="3"/>
    <n v="3628"/>
    <n v="10884"/>
  </r>
  <r>
    <n v="1597"/>
    <s v="28-12-2024"/>
    <x v="7"/>
    <s v="C246"/>
    <x v="1"/>
    <x v="1"/>
    <x v="14"/>
    <n v="3"/>
    <n v="4355"/>
    <n v="13065"/>
  </r>
  <r>
    <n v="1571"/>
    <s v="02-04-2024"/>
    <x v="6"/>
    <s v="C175"/>
    <x v="3"/>
    <x v="3"/>
    <x v="11"/>
    <n v="5"/>
    <n v="1699"/>
    <n v="8495"/>
  </r>
  <r>
    <n v="1091"/>
    <s v="23-04-2024"/>
    <x v="6"/>
    <s v="C190"/>
    <x v="2"/>
    <x v="1"/>
    <x v="14"/>
    <n v="3"/>
    <n v="2334"/>
    <n v="7002"/>
  </r>
  <r>
    <n v="1120"/>
    <s v="28-08-2024"/>
    <x v="10"/>
    <s v="C113"/>
    <x v="2"/>
    <x v="3"/>
    <x v="11"/>
    <n v="4"/>
    <n v="4540"/>
    <n v="18160"/>
  </r>
  <r>
    <n v="1154"/>
    <s v="11-03-2024"/>
    <x v="2"/>
    <s v="C151"/>
    <x v="0"/>
    <x v="0"/>
    <x v="10"/>
    <n v="3"/>
    <n v="1677"/>
    <n v="5031"/>
  </r>
  <r>
    <n v="1181"/>
    <s v="09-06-2024"/>
    <x v="3"/>
    <s v="C262"/>
    <x v="3"/>
    <x v="3"/>
    <x v="4"/>
    <n v="2"/>
    <n v="1581"/>
    <n v="3162"/>
  </r>
  <r>
    <n v="1090"/>
    <s v="07-03-2024"/>
    <x v="2"/>
    <s v="C257"/>
    <x v="0"/>
    <x v="2"/>
    <x v="20"/>
    <n v="4"/>
    <n v="3340"/>
    <n v="13360"/>
  </r>
  <r>
    <n v="1382"/>
    <s v="08-01-2024"/>
    <x v="0"/>
    <s v="C328"/>
    <x v="3"/>
    <x v="0"/>
    <x v="19"/>
    <n v="1"/>
    <n v="2238"/>
    <n v="2238"/>
  </r>
  <r>
    <n v="1319"/>
    <s v="07-03-2024"/>
    <x v="2"/>
    <s v="C126"/>
    <x v="0"/>
    <x v="2"/>
    <x v="8"/>
    <n v="1"/>
    <n v="574"/>
    <n v="574"/>
  </r>
  <r>
    <n v="1532"/>
    <s v="01-11-2024"/>
    <x v="5"/>
    <s v="C234"/>
    <x v="2"/>
    <x v="0"/>
    <x v="10"/>
    <n v="4"/>
    <n v="3142"/>
    <n v="12568"/>
  </r>
  <r>
    <n v="1413"/>
    <s v="10-01-2024"/>
    <x v="0"/>
    <s v="C158"/>
    <x v="3"/>
    <x v="1"/>
    <x v="16"/>
    <n v="5"/>
    <n v="4333"/>
    <n v="21665"/>
  </r>
  <r>
    <n v="1038"/>
    <s v="11-07-2024"/>
    <x v="11"/>
    <s v="C324"/>
    <x v="3"/>
    <x v="0"/>
    <x v="19"/>
    <n v="1"/>
    <n v="361"/>
    <n v="361"/>
  </r>
  <r>
    <n v="1454"/>
    <s v="13-07-2024"/>
    <x v="11"/>
    <s v="C131"/>
    <x v="1"/>
    <x v="0"/>
    <x v="10"/>
    <n v="1"/>
    <n v="2666"/>
    <n v="2666"/>
  </r>
  <r>
    <n v="1532"/>
    <s v="18-05-2024"/>
    <x v="9"/>
    <s v="C259"/>
    <x v="2"/>
    <x v="1"/>
    <x v="6"/>
    <n v="3"/>
    <n v="1133"/>
    <n v="3399"/>
  </r>
  <r>
    <n v="1204"/>
    <s v="14-05-2024"/>
    <x v="9"/>
    <s v="C312"/>
    <x v="3"/>
    <x v="1"/>
    <x v="14"/>
    <n v="2"/>
    <n v="522"/>
    <n v="1044"/>
  </r>
  <r>
    <n v="1492"/>
    <s v="18-06-2024"/>
    <x v="3"/>
    <s v="C160"/>
    <x v="2"/>
    <x v="3"/>
    <x v="4"/>
    <n v="5"/>
    <n v="4247"/>
    <n v="21235"/>
  </r>
  <r>
    <n v="1523"/>
    <s v="08-02-2024"/>
    <x v="1"/>
    <s v="C285"/>
    <x v="1"/>
    <x v="3"/>
    <x v="15"/>
    <n v="3"/>
    <n v="2363"/>
    <n v="7089"/>
  </r>
  <r>
    <n v="1178"/>
    <s v="21-01-2024"/>
    <x v="0"/>
    <s v="C318"/>
    <x v="0"/>
    <x v="0"/>
    <x v="13"/>
    <n v="1"/>
    <n v="978"/>
    <n v="978"/>
  </r>
  <r>
    <n v="1009"/>
    <s v="11-03-2024"/>
    <x v="2"/>
    <s v="C269"/>
    <x v="1"/>
    <x v="1"/>
    <x v="14"/>
    <n v="5"/>
    <n v="2397"/>
    <n v="11985"/>
  </r>
  <r>
    <n v="1350"/>
    <s v="03-04-2024"/>
    <x v="6"/>
    <s v="C129"/>
    <x v="3"/>
    <x v="2"/>
    <x v="5"/>
    <n v="4"/>
    <n v="4117"/>
    <n v="16468"/>
  </r>
  <r>
    <n v="1170"/>
    <s v="27-02-2024"/>
    <x v="1"/>
    <s v="C133"/>
    <x v="0"/>
    <x v="3"/>
    <x v="12"/>
    <n v="5"/>
    <n v="4154"/>
    <n v="20770"/>
  </r>
  <r>
    <n v="1185"/>
    <s v="08-11-2024"/>
    <x v="5"/>
    <s v="C197"/>
    <x v="0"/>
    <x v="0"/>
    <x v="19"/>
    <n v="4"/>
    <n v="4198"/>
    <n v="16792"/>
  </r>
  <r>
    <n v="1047"/>
    <s v="02-02-2024"/>
    <x v="1"/>
    <s v="C166"/>
    <x v="2"/>
    <x v="0"/>
    <x v="3"/>
    <n v="5"/>
    <n v="4485"/>
    <n v="22425"/>
  </r>
  <r>
    <n v="1443"/>
    <s v="04-12-2024"/>
    <x v="7"/>
    <s v="C286"/>
    <x v="0"/>
    <x v="1"/>
    <x v="6"/>
    <n v="2"/>
    <n v="4773"/>
    <n v="9546"/>
  </r>
  <r>
    <n v="1011"/>
    <s v="25-11-2024"/>
    <x v="5"/>
    <s v="C339"/>
    <x v="1"/>
    <x v="1"/>
    <x v="1"/>
    <n v="2"/>
    <n v="813"/>
    <n v="1626"/>
  </r>
  <r>
    <n v="1338"/>
    <s v="22-05-2024"/>
    <x v="9"/>
    <s v="C112"/>
    <x v="0"/>
    <x v="1"/>
    <x v="1"/>
    <n v="2"/>
    <n v="845"/>
    <n v="1690"/>
  </r>
  <r>
    <n v="1458"/>
    <s v="15-02-2024"/>
    <x v="1"/>
    <s v="C319"/>
    <x v="2"/>
    <x v="2"/>
    <x v="5"/>
    <n v="4"/>
    <n v="345"/>
    <n v="1380"/>
  </r>
  <r>
    <n v="1570"/>
    <s v="08-10-2024"/>
    <x v="4"/>
    <s v="C100"/>
    <x v="1"/>
    <x v="3"/>
    <x v="7"/>
    <n v="4"/>
    <n v="2992"/>
    <n v="11968"/>
  </r>
  <r>
    <n v="1228"/>
    <s v="20-08-2024"/>
    <x v="10"/>
    <s v="C184"/>
    <x v="2"/>
    <x v="2"/>
    <x v="20"/>
    <n v="1"/>
    <n v="2016"/>
    <n v="2016"/>
  </r>
  <r>
    <n v="1298"/>
    <s v="07-10-2024"/>
    <x v="4"/>
    <s v="C233"/>
    <x v="0"/>
    <x v="0"/>
    <x v="3"/>
    <n v="4"/>
    <n v="1350"/>
    <n v="5400"/>
  </r>
  <r>
    <n v="1419"/>
    <s v="24-02-2024"/>
    <x v="1"/>
    <s v="C165"/>
    <x v="0"/>
    <x v="1"/>
    <x v="16"/>
    <n v="2"/>
    <n v="3944"/>
    <n v="7888"/>
  </r>
  <r>
    <n v="1346"/>
    <s v="25-02-2024"/>
    <x v="1"/>
    <s v="C293"/>
    <x v="1"/>
    <x v="2"/>
    <x v="17"/>
    <n v="4"/>
    <n v="4330"/>
    <n v="17320"/>
  </r>
  <r>
    <n v="1543"/>
    <s v="25-01-2024"/>
    <x v="0"/>
    <s v="C241"/>
    <x v="0"/>
    <x v="2"/>
    <x v="8"/>
    <n v="5"/>
    <n v="1622"/>
    <n v="8110"/>
  </r>
  <r>
    <n v="1396"/>
    <s v="02-12-2024"/>
    <x v="7"/>
    <s v="C253"/>
    <x v="0"/>
    <x v="0"/>
    <x v="19"/>
    <n v="5"/>
    <n v="2233"/>
    <n v="11165"/>
  </r>
  <r>
    <n v="1301"/>
    <s v="19-08-2024"/>
    <x v="10"/>
    <s v="C306"/>
    <x v="3"/>
    <x v="1"/>
    <x v="16"/>
    <n v="5"/>
    <n v="2771"/>
    <n v="13855"/>
  </r>
  <r>
    <n v="1222"/>
    <s v="12-04-2024"/>
    <x v="6"/>
    <s v="C153"/>
    <x v="0"/>
    <x v="0"/>
    <x v="13"/>
    <n v="5"/>
    <n v="4644"/>
    <n v="23220"/>
  </r>
  <r>
    <n v="1118"/>
    <s v="29-06-2024"/>
    <x v="3"/>
    <s v="C243"/>
    <x v="3"/>
    <x v="2"/>
    <x v="8"/>
    <n v="4"/>
    <n v="304"/>
    <n v="1216"/>
  </r>
  <r>
    <n v="1148"/>
    <s v="28-01-2024"/>
    <x v="0"/>
    <s v="C271"/>
    <x v="0"/>
    <x v="3"/>
    <x v="12"/>
    <n v="3"/>
    <n v="2252"/>
    <n v="6756"/>
  </r>
  <r>
    <n v="1302"/>
    <s v="14-04-2024"/>
    <x v="6"/>
    <s v="C292"/>
    <x v="2"/>
    <x v="3"/>
    <x v="15"/>
    <n v="5"/>
    <n v="4802"/>
    <n v="24010"/>
  </r>
  <r>
    <n v="1574"/>
    <s v="18-07-2024"/>
    <x v="11"/>
    <s v="C160"/>
    <x v="0"/>
    <x v="0"/>
    <x v="3"/>
    <n v="4"/>
    <n v="2761"/>
    <n v="11044"/>
  </r>
  <r>
    <n v="1257"/>
    <s v="13-04-2024"/>
    <x v="6"/>
    <s v="C258"/>
    <x v="1"/>
    <x v="2"/>
    <x v="18"/>
    <n v="2"/>
    <n v="2609"/>
    <n v="5218"/>
  </r>
  <r>
    <n v="1076"/>
    <s v="05-04-2024"/>
    <x v="6"/>
    <s v="C346"/>
    <x v="0"/>
    <x v="1"/>
    <x v="1"/>
    <n v="1"/>
    <n v="3710"/>
    <n v="3710"/>
  </r>
  <r>
    <n v="1164"/>
    <s v="26-10-2024"/>
    <x v="4"/>
    <s v="C316"/>
    <x v="1"/>
    <x v="0"/>
    <x v="3"/>
    <n v="2"/>
    <n v="527"/>
    <n v="1054"/>
  </r>
  <r>
    <n v="1052"/>
    <s v="16-11-2024"/>
    <x v="5"/>
    <s v="C257"/>
    <x v="2"/>
    <x v="0"/>
    <x v="10"/>
    <n v="3"/>
    <n v="4504"/>
    <n v="13512"/>
  </r>
  <r>
    <n v="1069"/>
    <s v="15-09-2024"/>
    <x v="8"/>
    <s v="C140"/>
    <x v="2"/>
    <x v="2"/>
    <x v="8"/>
    <n v="3"/>
    <n v="2012"/>
    <n v="6036"/>
  </r>
  <r>
    <n v="1339"/>
    <s v="03-07-2024"/>
    <x v="11"/>
    <s v="C175"/>
    <x v="3"/>
    <x v="1"/>
    <x v="1"/>
    <n v="1"/>
    <n v="3034"/>
    <n v="3034"/>
  </r>
  <r>
    <n v="1249"/>
    <s v="21-01-2024"/>
    <x v="0"/>
    <s v="C274"/>
    <x v="0"/>
    <x v="0"/>
    <x v="10"/>
    <n v="3"/>
    <n v="4625"/>
    <n v="13875"/>
  </r>
  <r>
    <n v="1529"/>
    <s v="10-07-2024"/>
    <x v="11"/>
    <s v="C231"/>
    <x v="3"/>
    <x v="2"/>
    <x v="5"/>
    <n v="2"/>
    <n v="2824"/>
    <n v="5648"/>
  </r>
  <r>
    <n v="1171"/>
    <s v="02-10-2024"/>
    <x v="4"/>
    <s v="C236"/>
    <x v="1"/>
    <x v="3"/>
    <x v="4"/>
    <n v="4"/>
    <n v="1051"/>
    <n v="4204"/>
  </r>
  <r>
    <n v="1445"/>
    <s v="27-11-2024"/>
    <x v="5"/>
    <s v="C309"/>
    <x v="1"/>
    <x v="3"/>
    <x v="12"/>
    <n v="3"/>
    <n v="510"/>
    <n v="1530"/>
  </r>
  <r>
    <n v="1257"/>
    <s v="12-10-2024"/>
    <x v="4"/>
    <s v="C118"/>
    <x v="4"/>
    <x v="1"/>
    <x v="14"/>
    <n v="4"/>
    <n v="3513"/>
    <n v="14052"/>
  </r>
  <r>
    <n v="1121"/>
    <s v="30-09-2024"/>
    <x v="8"/>
    <s v="C101"/>
    <x v="2"/>
    <x v="3"/>
    <x v="7"/>
    <n v="3"/>
    <n v="4319"/>
    <n v="12957"/>
  </r>
  <r>
    <n v="1308"/>
    <s v="06-11-2024"/>
    <x v="5"/>
    <s v="C122"/>
    <x v="0"/>
    <x v="0"/>
    <x v="10"/>
    <n v="1"/>
    <n v="4082"/>
    <n v="4082"/>
  </r>
  <r>
    <n v="1400"/>
    <s v="06-10-2024"/>
    <x v="4"/>
    <s v="C175"/>
    <x v="3"/>
    <x v="1"/>
    <x v="14"/>
    <n v="5"/>
    <n v="4747"/>
    <n v="23735"/>
  </r>
  <r>
    <n v="1586"/>
    <s v="01-11-2024"/>
    <x v="5"/>
    <s v="C200"/>
    <x v="2"/>
    <x v="3"/>
    <x v="15"/>
    <n v="2"/>
    <n v="3580"/>
    <n v="7160"/>
  </r>
  <r>
    <n v="1145"/>
    <s v="23-03-2024"/>
    <x v="2"/>
    <s v="C147"/>
    <x v="1"/>
    <x v="1"/>
    <x v="1"/>
    <n v="1"/>
    <n v="1685"/>
    <n v="1685"/>
  </r>
  <r>
    <n v="1055"/>
    <s v="08-10-2024"/>
    <x v="4"/>
    <s v="C218"/>
    <x v="3"/>
    <x v="3"/>
    <x v="15"/>
    <n v="1"/>
    <n v="1817"/>
    <n v="1817"/>
  </r>
  <r>
    <n v="1338"/>
    <s v="01-07-2024"/>
    <x v="11"/>
    <s v="C132"/>
    <x v="2"/>
    <x v="1"/>
    <x v="9"/>
    <n v="2"/>
    <n v="2803"/>
    <n v="5606"/>
  </r>
  <r>
    <n v="1313"/>
    <s v="21-12-2024"/>
    <x v="7"/>
    <s v="C249"/>
    <x v="2"/>
    <x v="1"/>
    <x v="20"/>
    <n v="4"/>
    <n v="1581"/>
    <n v="6324"/>
  </r>
  <r>
    <n v="1226"/>
    <s v="30-12-2024"/>
    <x v="7"/>
    <s v="C289"/>
    <x v="0"/>
    <x v="2"/>
    <x v="2"/>
    <n v="3"/>
    <n v="4131"/>
    <n v="12393"/>
  </r>
  <r>
    <n v="1312"/>
    <s v="06-09-2024"/>
    <x v="8"/>
    <s v="C241"/>
    <x v="3"/>
    <x v="3"/>
    <x v="12"/>
    <n v="2"/>
    <n v="4612"/>
    <n v="9224"/>
  </r>
  <r>
    <n v="1078"/>
    <s v="08-02-2024"/>
    <x v="1"/>
    <s v="C328"/>
    <x v="0"/>
    <x v="3"/>
    <x v="7"/>
    <n v="5"/>
    <n v="1942"/>
    <n v="9710"/>
  </r>
  <r>
    <n v="1556"/>
    <s v="03-10-2024"/>
    <x v="4"/>
    <s v="C220"/>
    <x v="1"/>
    <x v="1"/>
    <x v="14"/>
    <n v="5"/>
    <n v="2583"/>
    <n v="12915"/>
  </r>
  <r>
    <n v="1092"/>
    <s v="22-07-2024"/>
    <x v="11"/>
    <s v="C193"/>
    <x v="0"/>
    <x v="3"/>
    <x v="12"/>
    <n v="4"/>
    <n v="1504"/>
    <n v="6016"/>
  </r>
  <r>
    <n v="1149"/>
    <s v="04-09-2024"/>
    <x v="8"/>
    <s v="C340"/>
    <x v="1"/>
    <x v="0"/>
    <x v="3"/>
    <n v="2"/>
    <n v="714"/>
    <n v="1428"/>
  </r>
  <r>
    <n v="1211"/>
    <s v="22-09-2024"/>
    <x v="8"/>
    <s v="C332"/>
    <x v="1"/>
    <x v="0"/>
    <x v="10"/>
    <n v="1"/>
    <n v="526"/>
    <n v="526"/>
  </r>
  <r>
    <n v="1533"/>
    <s v="20-11-2024"/>
    <x v="5"/>
    <s v="C312"/>
    <x v="0"/>
    <x v="0"/>
    <x v="13"/>
    <n v="4"/>
    <n v="3192"/>
    <n v="12768"/>
  </r>
  <r>
    <n v="1079"/>
    <s v="21-09-2024"/>
    <x v="8"/>
    <s v="C164"/>
    <x v="2"/>
    <x v="2"/>
    <x v="18"/>
    <n v="3"/>
    <n v="4188"/>
    <n v="12564"/>
  </r>
  <r>
    <n v="1006"/>
    <s v="13-09-2024"/>
    <x v="8"/>
    <s v="C325"/>
    <x v="1"/>
    <x v="1"/>
    <x v="6"/>
    <n v="1"/>
    <n v="4415"/>
    <n v="4415"/>
  </r>
  <r>
    <n v="1191"/>
    <s v="21-03-2024"/>
    <x v="2"/>
    <s v="C192"/>
    <x v="2"/>
    <x v="3"/>
    <x v="12"/>
    <n v="1"/>
    <n v="4144"/>
    <n v="4144"/>
  </r>
  <r>
    <n v="1165"/>
    <s v="27-11-2024"/>
    <x v="5"/>
    <s v="C313"/>
    <x v="3"/>
    <x v="2"/>
    <x v="17"/>
    <n v="2"/>
    <n v="4898"/>
    <n v="9796"/>
  </r>
  <r>
    <n v="1524"/>
    <s v="21-01-2024"/>
    <x v="0"/>
    <s v="C328"/>
    <x v="3"/>
    <x v="1"/>
    <x v="9"/>
    <n v="2"/>
    <n v="4432"/>
    <n v="8864"/>
  </r>
  <r>
    <n v="1577"/>
    <s v="22-11-2024"/>
    <x v="5"/>
    <s v="C104"/>
    <x v="1"/>
    <x v="0"/>
    <x v="3"/>
    <n v="5"/>
    <n v="4061"/>
    <n v="20305"/>
  </r>
  <r>
    <n v="1420"/>
    <s v="03-11-2024"/>
    <x v="5"/>
    <s v="C136"/>
    <x v="0"/>
    <x v="1"/>
    <x v="1"/>
    <n v="3"/>
    <n v="3914"/>
    <n v="11742"/>
  </r>
  <r>
    <n v="1387"/>
    <s v="16-07-2024"/>
    <x v="11"/>
    <s v="C133"/>
    <x v="0"/>
    <x v="3"/>
    <x v="4"/>
    <n v="2"/>
    <n v="988"/>
    <n v="1976"/>
  </r>
  <r>
    <n v="1039"/>
    <s v="29-09-2024"/>
    <x v="8"/>
    <s v="C228"/>
    <x v="0"/>
    <x v="3"/>
    <x v="4"/>
    <n v="5"/>
    <n v="4617"/>
    <n v="23085"/>
  </r>
  <r>
    <n v="1441"/>
    <s v="24-09-2024"/>
    <x v="8"/>
    <s v="C207"/>
    <x v="1"/>
    <x v="0"/>
    <x v="3"/>
    <n v="4"/>
    <n v="3323"/>
    <n v="13292"/>
  </r>
  <r>
    <n v="1589"/>
    <s v="20-02-2024"/>
    <x v="1"/>
    <s v="C208"/>
    <x v="1"/>
    <x v="1"/>
    <x v="14"/>
    <n v="1"/>
    <n v="2520"/>
    <n v="2520"/>
  </r>
  <r>
    <n v="1263"/>
    <s v="06-04-2024"/>
    <x v="6"/>
    <s v="C101"/>
    <x v="3"/>
    <x v="3"/>
    <x v="7"/>
    <n v="4"/>
    <n v="1882"/>
    <n v="7528"/>
  </r>
  <r>
    <n v="1370"/>
    <s v="24-02-2024"/>
    <x v="1"/>
    <s v="C139"/>
    <x v="3"/>
    <x v="2"/>
    <x v="8"/>
    <n v="5"/>
    <n v="3669"/>
    <n v="18345"/>
  </r>
  <r>
    <n v="1406"/>
    <s v="14-04-2024"/>
    <x v="6"/>
    <s v="C205"/>
    <x v="1"/>
    <x v="2"/>
    <x v="18"/>
    <n v="3"/>
    <n v="2712"/>
    <n v="8136"/>
  </r>
  <r>
    <n v="1407"/>
    <s v="11-03-2024"/>
    <x v="2"/>
    <s v="C318"/>
    <x v="0"/>
    <x v="3"/>
    <x v="12"/>
    <n v="1"/>
    <n v="1956"/>
    <n v="1956"/>
  </r>
  <r>
    <n v="1563"/>
    <s v="10-11-2024"/>
    <x v="5"/>
    <s v="C278"/>
    <x v="3"/>
    <x v="3"/>
    <x v="12"/>
    <n v="1"/>
    <n v="1390"/>
    <n v="1390"/>
  </r>
  <r>
    <n v="1090"/>
    <s v="02-02-2024"/>
    <x v="1"/>
    <s v="C167"/>
    <x v="3"/>
    <x v="1"/>
    <x v="14"/>
    <n v="4"/>
    <n v="3482"/>
    <n v="13928"/>
  </r>
  <r>
    <n v="1058"/>
    <s v="30-03-2024"/>
    <x v="2"/>
    <s v="C263"/>
    <x v="1"/>
    <x v="2"/>
    <x v="5"/>
    <n v="5"/>
    <n v="2542"/>
    <n v="12710"/>
  </r>
  <r>
    <n v="1522"/>
    <s v="21-09-2024"/>
    <x v="8"/>
    <s v="C278"/>
    <x v="3"/>
    <x v="1"/>
    <x v="1"/>
    <n v="3"/>
    <n v="2159"/>
    <n v="6477"/>
  </r>
  <r>
    <n v="1088"/>
    <s v="21-05-2024"/>
    <x v="9"/>
    <s v="C299"/>
    <x v="0"/>
    <x v="2"/>
    <x v="2"/>
    <n v="5"/>
    <n v="1840"/>
    <n v="9200"/>
  </r>
  <r>
    <n v="1070"/>
    <s v="16-02-2024"/>
    <x v="1"/>
    <s v="C240"/>
    <x v="2"/>
    <x v="0"/>
    <x v="19"/>
    <n v="3"/>
    <n v="2053"/>
    <n v="6159"/>
  </r>
  <r>
    <n v="1413"/>
    <s v="21-10-2024"/>
    <x v="4"/>
    <s v="C101"/>
    <x v="2"/>
    <x v="0"/>
    <x v="0"/>
    <n v="5"/>
    <n v="792"/>
    <n v="3960"/>
  </r>
  <r>
    <n v="1119"/>
    <s v="19-09-2024"/>
    <x v="8"/>
    <s v="C344"/>
    <x v="1"/>
    <x v="0"/>
    <x v="19"/>
    <n v="4"/>
    <n v="4813"/>
    <n v="19252"/>
  </r>
  <r>
    <n v="1347"/>
    <s v="22-08-2024"/>
    <x v="10"/>
    <s v="C274"/>
    <x v="1"/>
    <x v="2"/>
    <x v="8"/>
    <n v="1"/>
    <n v="2312"/>
    <n v="2312"/>
  </r>
  <r>
    <n v="1225"/>
    <s v="12-12-2024"/>
    <x v="7"/>
    <s v="C279"/>
    <x v="2"/>
    <x v="1"/>
    <x v="20"/>
    <n v="5"/>
    <n v="4588"/>
    <n v="22940"/>
  </r>
  <r>
    <n v="1254"/>
    <s v="27-05-2024"/>
    <x v="9"/>
    <s v="C123"/>
    <x v="0"/>
    <x v="2"/>
    <x v="2"/>
    <n v="4"/>
    <n v="2771"/>
    <n v="11084"/>
  </r>
  <r>
    <n v="1275"/>
    <s v="03-04-2024"/>
    <x v="6"/>
    <s v="C342"/>
    <x v="1"/>
    <x v="1"/>
    <x v="6"/>
    <n v="2"/>
    <n v="2374"/>
    <n v="4748"/>
  </r>
  <r>
    <n v="1255"/>
    <s v="12-11-2024"/>
    <x v="5"/>
    <s v="C191"/>
    <x v="2"/>
    <x v="1"/>
    <x v="9"/>
    <n v="4"/>
    <n v="254"/>
    <n v="1016"/>
  </r>
  <r>
    <n v="1043"/>
    <s v="03-09-2024"/>
    <x v="8"/>
    <s v="C195"/>
    <x v="1"/>
    <x v="0"/>
    <x v="10"/>
    <n v="2"/>
    <n v="4387"/>
    <n v="8774"/>
  </r>
  <r>
    <n v="1590"/>
    <s v="06-03-2024"/>
    <x v="2"/>
    <s v="C113"/>
    <x v="2"/>
    <x v="2"/>
    <x v="5"/>
    <n v="4"/>
    <n v="1631"/>
    <n v="6524"/>
  </r>
  <r>
    <n v="1530"/>
    <s v="23-08-2024"/>
    <x v="10"/>
    <s v="C180"/>
    <x v="0"/>
    <x v="3"/>
    <x v="4"/>
    <n v="5"/>
    <n v="1025"/>
    <n v="5125"/>
  </r>
  <r>
    <n v="1265"/>
    <s v="05-04-2024"/>
    <x v="6"/>
    <s v="C240"/>
    <x v="1"/>
    <x v="0"/>
    <x v="0"/>
    <n v="5"/>
    <n v="3010"/>
    <n v="15050"/>
  </r>
  <r>
    <n v="1215"/>
    <s v="02-08-2024"/>
    <x v="10"/>
    <s v="C279"/>
    <x v="3"/>
    <x v="0"/>
    <x v="13"/>
    <n v="4"/>
    <n v="1673"/>
    <n v="6692"/>
  </r>
  <r>
    <n v="1234"/>
    <s v="21-02-2024"/>
    <x v="1"/>
    <s v="C284"/>
    <x v="0"/>
    <x v="0"/>
    <x v="0"/>
    <n v="2"/>
    <n v="1394"/>
    <n v="2788"/>
  </r>
  <r>
    <n v="1484"/>
    <s v="05-01-2024"/>
    <x v="0"/>
    <s v="C145"/>
    <x v="2"/>
    <x v="2"/>
    <x v="5"/>
    <n v="4"/>
    <n v="2657"/>
    <n v="10628"/>
  </r>
  <r>
    <n v="1048"/>
    <s v="22-07-2024"/>
    <x v="11"/>
    <s v="C125"/>
    <x v="3"/>
    <x v="1"/>
    <x v="9"/>
    <n v="4"/>
    <n v="988"/>
    <n v="3952"/>
  </r>
  <r>
    <n v="1369"/>
    <s v="03-07-2024"/>
    <x v="11"/>
    <s v="C243"/>
    <x v="0"/>
    <x v="0"/>
    <x v="13"/>
    <n v="1"/>
    <n v="3076"/>
    <n v="3076"/>
  </r>
  <r>
    <n v="1203"/>
    <s v="22-10-2024"/>
    <x v="4"/>
    <s v="C247"/>
    <x v="2"/>
    <x v="1"/>
    <x v="14"/>
    <n v="5"/>
    <n v="4193"/>
    <n v="20965"/>
  </r>
  <r>
    <n v="1080"/>
    <s v="14-07-2024"/>
    <x v="11"/>
    <s v="C257"/>
    <x v="0"/>
    <x v="0"/>
    <x v="10"/>
    <n v="3"/>
    <n v="3655"/>
    <n v="10965"/>
  </r>
  <r>
    <n v="1073"/>
    <s v="10-02-2024"/>
    <x v="1"/>
    <s v="C141"/>
    <x v="2"/>
    <x v="0"/>
    <x v="0"/>
    <n v="3"/>
    <n v="2391"/>
    <n v="7173"/>
  </r>
  <r>
    <n v="1455"/>
    <s v="04-07-2024"/>
    <x v="11"/>
    <s v="C291"/>
    <x v="0"/>
    <x v="2"/>
    <x v="5"/>
    <n v="1"/>
    <n v="1224"/>
    <n v="1224"/>
  </r>
  <r>
    <n v="1081"/>
    <s v="17-04-2024"/>
    <x v="6"/>
    <s v="C142"/>
    <x v="2"/>
    <x v="2"/>
    <x v="17"/>
    <n v="4"/>
    <n v="4692"/>
    <n v="18768"/>
  </r>
  <r>
    <n v="1536"/>
    <s v="12-02-2024"/>
    <x v="1"/>
    <s v="C126"/>
    <x v="2"/>
    <x v="0"/>
    <x v="19"/>
    <n v="4"/>
    <n v="2734"/>
    <n v="10936"/>
  </r>
  <r>
    <n v="1453"/>
    <s v="16-11-2024"/>
    <x v="5"/>
    <s v="C132"/>
    <x v="3"/>
    <x v="1"/>
    <x v="1"/>
    <n v="1"/>
    <n v="3123"/>
    <n v="3123"/>
  </r>
  <r>
    <n v="1487"/>
    <s v="27-08-2024"/>
    <x v="10"/>
    <s v="C349"/>
    <x v="0"/>
    <x v="0"/>
    <x v="19"/>
    <n v="5"/>
    <n v="1650"/>
    <n v="8250"/>
  </r>
  <r>
    <n v="1577"/>
    <s v="10-08-2024"/>
    <x v="10"/>
    <s v="C234"/>
    <x v="1"/>
    <x v="0"/>
    <x v="13"/>
    <n v="1"/>
    <n v="3819"/>
    <n v="3819"/>
  </r>
  <r>
    <n v="1159"/>
    <s v="04-06-2024"/>
    <x v="3"/>
    <s v="C102"/>
    <x v="2"/>
    <x v="3"/>
    <x v="7"/>
    <n v="3"/>
    <n v="4043"/>
    <n v="12129"/>
  </r>
  <r>
    <n v="1503"/>
    <s v="01-09-2024"/>
    <x v="8"/>
    <s v="C176"/>
    <x v="1"/>
    <x v="3"/>
    <x v="11"/>
    <n v="1"/>
    <n v="4690"/>
    <n v="4690"/>
  </r>
  <r>
    <n v="1574"/>
    <s v="11-08-2024"/>
    <x v="10"/>
    <s v="C201"/>
    <x v="0"/>
    <x v="1"/>
    <x v="16"/>
    <n v="2"/>
    <n v="2354"/>
    <n v="4708"/>
  </r>
  <r>
    <n v="1529"/>
    <s v="09-11-2024"/>
    <x v="5"/>
    <s v="C306"/>
    <x v="0"/>
    <x v="0"/>
    <x v="13"/>
    <n v="2"/>
    <n v="760"/>
    <n v="1520"/>
  </r>
  <r>
    <n v="1466"/>
    <s v="12-11-2024"/>
    <x v="5"/>
    <s v="C215"/>
    <x v="1"/>
    <x v="0"/>
    <x v="19"/>
    <n v="3"/>
    <n v="358"/>
    <n v="1074"/>
  </r>
  <r>
    <n v="1022"/>
    <s v="05-04-2024"/>
    <x v="6"/>
    <s v="C348"/>
    <x v="0"/>
    <x v="3"/>
    <x v="15"/>
    <n v="4"/>
    <n v="267"/>
    <n v="1068"/>
  </r>
  <r>
    <n v="1505"/>
    <s v="21-04-2024"/>
    <x v="6"/>
    <s v="C187"/>
    <x v="2"/>
    <x v="2"/>
    <x v="2"/>
    <n v="4"/>
    <n v="459"/>
    <n v="1836"/>
  </r>
  <r>
    <n v="1149"/>
    <s v="29-01-2024"/>
    <x v="0"/>
    <s v="C168"/>
    <x v="0"/>
    <x v="2"/>
    <x v="17"/>
    <n v="2"/>
    <n v="2248"/>
    <n v="4496"/>
  </r>
  <r>
    <n v="1124"/>
    <s v="31-12-2024"/>
    <x v="7"/>
    <s v="C163"/>
    <x v="3"/>
    <x v="2"/>
    <x v="5"/>
    <n v="2"/>
    <n v="3975"/>
    <n v="7950"/>
  </r>
  <r>
    <n v="1213"/>
    <s v="30-08-2024"/>
    <x v="10"/>
    <s v="C199"/>
    <x v="3"/>
    <x v="0"/>
    <x v="13"/>
    <n v="5"/>
    <n v="4467"/>
    <n v="22335"/>
  </r>
  <r>
    <n v="1305"/>
    <s v="11-04-2024"/>
    <x v="6"/>
    <s v="C192"/>
    <x v="1"/>
    <x v="3"/>
    <x v="20"/>
    <n v="4"/>
    <n v="2858"/>
    <n v="11432"/>
  </r>
  <r>
    <n v="1598"/>
    <s v="02-03-2024"/>
    <x v="2"/>
    <s v="C201"/>
    <x v="1"/>
    <x v="1"/>
    <x v="9"/>
    <n v="5"/>
    <n v="1469"/>
    <n v="7345"/>
  </r>
  <r>
    <n v="1161"/>
    <s v="12-09-2024"/>
    <x v="8"/>
    <s v="C123"/>
    <x v="2"/>
    <x v="0"/>
    <x v="3"/>
    <n v="2"/>
    <n v="4593"/>
    <n v="9186"/>
  </r>
  <r>
    <n v="1238"/>
    <s v="11-06-2024"/>
    <x v="3"/>
    <s v="C242"/>
    <x v="3"/>
    <x v="0"/>
    <x v="10"/>
    <n v="4"/>
    <n v="3134"/>
    <n v="12536"/>
  </r>
  <r>
    <n v="1040"/>
    <s v="05-09-2024"/>
    <x v="8"/>
    <s v="C280"/>
    <x v="1"/>
    <x v="2"/>
    <x v="8"/>
    <n v="2"/>
    <n v="4842"/>
    <n v="9684"/>
  </r>
  <r>
    <n v="1479"/>
    <s v="20-05-2024"/>
    <x v="9"/>
    <s v="C322"/>
    <x v="1"/>
    <x v="1"/>
    <x v="9"/>
    <n v="3"/>
    <n v="2357"/>
    <n v="7071"/>
  </r>
  <r>
    <n v="1518"/>
    <s v="13-07-2024"/>
    <x v="11"/>
    <s v="C287"/>
    <x v="1"/>
    <x v="1"/>
    <x v="9"/>
    <n v="3"/>
    <n v="718"/>
    <n v="2154"/>
  </r>
  <r>
    <n v="1396"/>
    <s v="07-04-2024"/>
    <x v="6"/>
    <s v="C234"/>
    <x v="3"/>
    <x v="2"/>
    <x v="8"/>
    <n v="3"/>
    <n v="3557"/>
    <n v="10671"/>
  </r>
  <r>
    <n v="1535"/>
    <s v="03-12-2024"/>
    <x v="7"/>
    <s v="C117"/>
    <x v="3"/>
    <x v="3"/>
    <x v="12"/>
    <n v="2"/>
    <n v="1076"/>
    <n v="2152"/>
  </r>
  <r>
    <n v="1584"/>
    <s v="24-11-2024"/>
    <x v="5"/>
    <s v="C314"/>
    <x v="3"/>
    <x v="2"/>
    <x v="5"/>
    <n v="3"/>
    <n v="2008"/>
    <n v="6024"/>
  </r>
  <r>
    <n v="1213"/>
    <s v="01-12-2024"/>
    <x v="7"/>
    <s v="C225"/>
    <x v="2"/>
    <x v="3"/>
    <x v="11"/>
    <n v="5"/>
    <n v="3607"/>
    <n v="18035"/>
  </r>
  <r>
    <n v="1059"/>
    <s v="11-11-2024"/>
    <x v="5"/>
    <s v="C168"/>
    <x v="2"/>
    <x v="3"/>
    <x v="4"/>
    <n v="2"/>
    <n v="4455"/>
    <n v="8910"/>
  </r>
  <r>
    <n v="1544"/>
    <s v="16-07-2024"/>
    <x v="11"/>
    <s v="C148"/>
    <x v="0"/>
    <x v="1"/>
    <x v="1"/>
    <n v="5"/>
    <n v="4772"/>
    <n v="23860"/>
  </r>
  <r>
    <n v="1590"/>
    <s v="02-07-2024"/>
    <x v="11"/>
    <s v="C272"/>
    <x v="0"/>
    <x v="2"/>
    <x v="5"/>
    <n v="2"/>
    <n v="4705"/>
    <n v="9410"/>
  </r>
  <r>
    <n v="1161"/>
    <s v="30-09-2024"/>
    <x v="8"/>
    <s v="C253"/>
    <x v="2"/>
    <x v="2"/>
    <x v="2"/>
    <n v="3"/>
    <n v="3577"/>
    <n v="10731"/>
  </r>
  <r>
    <n v="1331"/>
    <s v="07-11-2024"/>
    <x v="5"/>
    <s v="C161"/>
    <x v="4"/>
    <x v="1"/>
    <x v="6"/>
    <n v="4"/>
    <n v="3865"/>
    <n v="15460"/>
  </r>
  <r>
    <n v="1035"/>
    <s v="25-05-2024"/>
    <x v="9"/>
    <s v="C252"/>
    <x v="3"/>
    <x v="3"/>
    <x v="7"/>
    <n v="1"/>
    <n v="2660"/>
    <n v="2660"/>
  </r>
  <r>
    <n v="1322"/>
    <s v="12-01-2024"/>
    <x v="0"/>
    <s v="C297"/>
    <x v="2"/>
    <x v="0"/>
    <x v="19"/>
    <n v="1"/>
    <n v="3971"/>
    <n v="3971"/>
  </r>
  <r>
    <n v="1375"/>
    <s v="25-10-2024"/>
    <x v="4"/>
    <s v="C163"/>
    <x v="2"/>
    <x v="1"/>
    <x v="14"/>
    <n v="5"/>
    <n v="3475"/>
    <n v="17375"/>
  </r>
  <r>
    <n v="1079"/>
    <s v="15-06-2024"/>
    <x v="3"/>
    <s v="C302"/>
    <x v="2"/>
    <x v="2"/>
    <x v="18"/>
    <n v="5"/>
    <n v="2660"/>
    <n v="13300"/>
  </r>
  <r>
    <n v="1390"/>
    <s v="10-02-2024"/>
    <x v="1"/>
    <s v="C299"/>
    <x v="0"/>
    <x v="3"/>
    <x v="15"/>
    <n v="4"/>
    <n v="1187"/>
    <n v="4748"/>
  </r>
  <r>
    <n v="1011"/>
    <s v="20-11-2024"/>
    <x v="5"/>
    <s v="C299"/>
    <x v="3"/>
    <x v="2"/>
    <x v="17"/>
    <n v="3"/>
    <n v="4623"/>
    <n v="13869"/>
  </r>
  <r>
    <n v="1226"/>
    <s v="19-03-2024"/>
    <x v="2"/>
    <s v="C112"/>
    <x v="1"/>
    <x v="2"/>
    <x v="5"/>
    <n v="4"/>
    <n v="2573"/>
    <n v="10292"/>
  </r>
  <r>
    <n v="1344"/>
    <s v="12-02-2024"/>
    <x v="1"/>
    <s v="C221"/>
    <x v="3"/>
    <x v="3"/>
    <x v="7"/>
    <n v="1"/>
    <n v="3464"/>
    <n v="3464"/>
  </r>
  <r>
    <n v="1133"/>
    <s v="10-03-2024"/>
    <x v="2"/>
    <s v="C223"/>
    <x v="1"/>
    <x v="1"/>
    <x v="6"/>
    <n v="5"/>
    <n v="4494"/>
    <n v="22470"/>
  </r>
  <r>
    <n v="1440"/>
    <s v="14-06-2024"/>
    <x v="3"/>
    <s v="C275"/>
    <x v="0"/>
    <x v="3"/>
    <x v="4"/>
    <n v="3"/>
    <n v="3053"/>
    <n v="9159"/>
  </r>
  <r>
    <n v="1024"/>
    <s v="05-06-2024"/>
    <x v="3"/>
    <s v="C143"/>
    <x v="0"/>
    <x v="0"/>
    <x v="19"/>
    <n v="4"/>
    <n v="567"/>
    <n v="2268"/>
  </r>
  <r>
    <n v="1382"/>
    <s v="20-03-2024"/>
    <x v="2"/>
    <s v="C293"/>
    <x v="1"/>
    <x v="3"/>
    <x v="4"/>
    <n v="5"/>
    <n v="1409"/>
    <n v="7045"/>
  </r>
  <r>
    <n v="1014"/>
    <s v="24-06-2024"/>
    <x v="3"/>
    <s v="C277"/>
    <x v="1"/>
    <x v="3"/>
    <x v="15"/>
    <n v="1"/>
    <n v="2918"/>
    <n v="2918"/>
  </r>
  <r>
    <n v="1208"/>
    <s v="06-10-2024"/>
    <x v="4"/>
    <s v="C233"/>
    <x v="0"/>
    <x v="0"/>
    <x v="19"/>
    <n v="1"/>
    <n v="3285"/>
    <n v="3285"/>
  </r>
  <r>
    <n v="1044"/>
    <s v="10-05-2024"/>
    <x v="9"/>
    <s v="C143"/>
    <x v="4"/>
    <x v="3"/>
    <x v="15"/>
    <n v="1"/>
    <n v="4008"/>
    <n v="4008"/>
  </r>
  <r>
    <n v="1397"/>
    <s v="04-12-2024"/>
    <x v="7"/>
    <s v="C169"/>
    <x v="3"/>
    <x v="0"/>
    <x v="3"/>
    <n v="4"/>
    <n v="2093"/>
    <n v="8372"/>
  </r>
  <r>
    <n v="1101"/>
    <s v="10-06-2024"/>
    <x v="3"/>
    <s v="C224"/>
    <x v="1"/>
    <x v="3"/>
    <x v="12"/>
    <n v="5"/>
    <n v="376"/>
    <n v="1880"/>
  </r>
  <r>
    <n v="1312"/>
    <s v="19-06-2024"/>
    <x v="3"/>
    <s v="C225"/>
    <x v="2"/>
    <x v="2"/>
    <x v="18"/>
    <n v="3"/>
    <n v="3111"/>
    <n v="9333"/>
  </r>
  <r>
    <n v="1513"/>
    <s v="21-05-2024"/>
    <x v="9"/>
    <s v="C307"/>
    <x v="3"/>
    <x v="3"/>
    <x v="15"/>
    <n v="5"/>
    <n v="2495"/>
    <n v="12475"/>
  </r>
  <r>
    <n v="1402"/>
    <s v="02-12-2024"/>
    <x v="7"/>
    <s v="C135"/>
    <x v="0"/>
    <x v="3"/>
    <x v="11"/>
    <n v="2"/>
    <n v="4893"/>
    <n v="9786"/>
  </r>
  <r>
    <n v="1337"/>
    <s v="17-08-2024"/>
    <x v="10"/>
    <s v="C238"/>
    <x v="1"/>
    <x v="1"/>
    <x v="16"/>
    <n v="2"/>
    <n v="2731"/>
    <n v="5462"/>
  </r>
  <r>
    <n v="1138"/>
    <s v="08-08-2024"/>
    <x v="10"/>
    <s v="C332"/>
    <x v="2"/>
    <x v="1"/>
    <x v="1"/>
    <n v="1"/>
    <n v="4765"/>
    <n v="4765"/>
  </r>
  <r>
    <n v="1188"/>
    <s v="11-06-2024"/>
    <x v="3"/>
    <s v="C314"/>
    <x v="0"/>
    <x v="1"/>
    <x v="9"/>
    <n v="4"/>
    <n v="2685"/>
    <n v="10740"/>
  </r>
  <r>
    <n v="1280"/>
    <s v="18-03-2024"/>
    <x v="2"/>
    <s v="C299"/>
    <x v="0"/>
    <x v="1"/>
    <x v="9"/>
    <n v="1"/>
    <n v="2386"/>
    <n v="2386"/>
  </r>
  <r>
    <n v="1237"/>
    <s v="28-04-2024"/>
    <x v="6"/>
    <s v="C275"/>
    <x v="1"/>
    <x v="3"/>
    <x v="15"/>
    <n v="2"/>
    <n v="4315"/>
    <n v="8630"/>
  </r>
  <r>
    <n v="1382"/>
    <s v="04-04-2024"/>
    <x v="6"/>
    <s v="C318"/>
    <x v="0"/>
    <x v="2"/>
    <x v="5"/>
    <n v="2"/>
    <n v="1783"/>
    <n v="3566"/>
  </r>
  <r>
    <n v="1015"/>
    <s v="18-05-2024"/>
    <x v="9"/>
    <s v="C343"/>
    <x v="1"/>
    <x v="2"/>
    <x v="18"/>
    <n v="1"/>
    <n v="1650"/>
    <n v="1650"/>
  </r>
  <r>
    <n v="1501"/>
    <s v="18-12-2024"/>
    <x v="7"/>
    <s v="C183"/>
    <x v="0"/>
    <x v="2"/>
    <x v="18"/>
    <n v="1"/>
    <n v="3316"/>
    <n v="3316"/>
  </r>
  <r>
    <n v="1585"/>
    <s v="31-10-2024"/>
    <x v="4"/>
    <s v="C237"/>
    <x v="1"/>
    <x v="3"/>
    <x v="7"/>
    <n v="4"/>
    <n v="547"/>
    <n v="2188"/>
  </r>
  <r>
    <n v="1550"/>
    <s v="21-07-2024"/>
    <x v="11"/>
    <s v="C288"/>
    <x v="3"/>
    <x v="3"/>
    <x v="7"/>
    <n v="2"/>
    <n v="2585"/>
    <n v="5170"/>
  </r>
  <r>
    <n v="1292"/>
    <s v="24-08-2024"/>
    <x v="10"/>
    <s v="C142"/>
    <x v="0"/>
    <x v="2"/>
    <x v="2"/>
    <n v="4"/>
    <n v="3900"/>
    <n v="15600"/>
  </r>
  <r>
    <n v="1184"/>
    <s v="26-10-2024"/>
    <x v="4"/>
    <s v="C340"/>
    <x v="2"/>
    <x v="1"/>
    <x v="6"/>
    <n v="4"/>
    <n v="404"/>
    <n v="1616"/>
  </r>
  <r>
    <n v="1206"/>
    <s v="20-08-2024"/>
    <x v="10"/>
    <s v="C123"/>
    <x v="2"/>
    <x v="0"/>
    <x v="13"/>
    <n v="1"/>
    <n v="1135"/>
    <n v="1135"/>
  </r>
  <r>
    <n v="1087"/>
    <s v="25-09-2024"/>
    <x v="8"/>
    <s v="C281"/>
    <x v="0"/>
    <x v="2"/>
    <x v="8"/>
    <n v="5"/>
    <n v="3317"/>
    <n v="16585"/>
  </r>
  <r>
    <n v="1343"/>
    <s v="16-10-2024"/>
    <x v="4"/>
    <s v="C323"/>
    <x v="0"/>
    <x v="1"/>
    <x v="16"/>
    <n v="1"/>
    <n v="3637"/>
    <n v="3637"/>
  </r>
  <r>
    <n v="1456"/>
    <s v="27-05-2024"/>
    <x v="9"/>
    <s v="C260"/>
    <x v="1"/>
    <x v="1"/>
    <x v="20"/>
    <n v="1"/>
    <n v="2273"/>
    <n v="2273"/>
  </r>
  <r>
    <n v="1510"/>
    <s v="05-10-2024"/>
    <x v="4"/>
    <s v="C306"/>
    <x v="1"/>
    <x v="3"/>
    <x v="7"/>
    <n v="2"/>
    <n v="4097"/>
    <n v="8194"/>
  </r>
  <r>
    <n v="1006"/>
    <s v="05-05-2024"/>
    <x v="9"/>
    <s v="C325"/>
    <x v="3"/>
    <x v="0"/>
    <x v="19"/>
    <n v="2"/>
    <n v="1414"/>
    <n v="2828"/>
  </r>
  <r>
    <n v="1148"/>
    <s v="17-01-2024"/>
    <x v="0"/>
    <s v="C270"/>
    <x v="3"/>
    <x v="0"/>
    <x v="13"/>
    <n v="1"/>
    <n v="3615"/>
    <n v="3615"/>
  </r>
  <r>
    <n v="1291"/>
    <s v="08-11-2024"/>
    <x v="5"/>
    <s v="C269"/>
    <x v="3"/>
    <x v="1"/>
    <x v="6"/>
    <n v="1"/>
    <n v="2651"/>
    <n v="2651"/>
  </r>
  <r>
    <n v="1069"/>
    <s v="06-08-2024"/>
    <x v="10"/>
    <s v="C315"/>
    <x v="0"/>
    <x v="3"/>
    <x v="15"/>
    <n v="1"/>
    <n v="2448"/>
    <n v="2448"/>
  </r>
  <r>
    <n v="1214"/>
    <s v="22-12-2024"/>
    <x v="7"/>
    <s v="C153"/>
    <x v="1"/>
    <x v="3"/>
    <x v="4"/>
    <n v="5"/>
    <n v="2552"/>
    <n v="12760"/>
  </r>
  <r>
    <n v="1265"/>
    <s v="26-09-2024"/>
    <x v="8"/>
    <s v="C247"/>
    <x v="1"/>
    <x v="0"/>
    <x v="0"/>
    <n v="4"/>
    <n v="1673"/>
    <n v="6692"/>
  </r>
  <r>
    <n v="1297"/>
    <s v="09-04-2024"/>
    <x v="6"/>
    <s v="C100"/>
    <x v="2"/>
    <x v="3"/>
    <x v="4"/>
    <n v="2"/>
    <n v="3596"/>
    <n v="7192"/>
  </r>
  <r>
    <n v="1573"/>
    <s v="22-11-2024"/>
    <x v="5"/>
    <s v="C154"/>
    <x v="3"/>
    <x v="3"/>
    <x v="12"/>
    <n v="1"/>
    <n v="2721"/>
    <n v="2721"/>
  </r>
  <r>
    <n v="1006"/>
    <s v="28-02-2024"/>
    <x v="1"/>
    <s v="C275"/>
    <x v="3"/>
    <x v="0"/>
    <x v="13"/>
    <n v="2"/>
    <n v="1789"/>
    <n v="3578"/>
  </r>
  <r>
    <n v="1490"/>
    <s v="30-08-2024"/>
    <x v="10"/>
    <s v="C304"/>
    <x v="0"/>
    <x v="3"/>
    <x v="12"/>
    <n v="4"/>
    <n v="4598"/>
    <n v="18392"/>
  </r>
  <r>
    <n v="1423"/>
    <s v="29-01-2024"/>
    <x v="0"/>
    <s v="C313"/>
    <x v="3"/>
    <x v="0"/>
    <x v="19"/>
    <n v="2"/>
    <n v="4930"/>
    <n v="9860"/>
  </r>
  <r>
    <n v="1362"/>
    <s v="03-02-2024"/>
    <x v="1"/>
    <s v="C348"/>
    <x v="2"/>
    <x v="1"/>
    <x v="14"/>
    <n v="4"/>
    <n v="4576"/>
    <n v="18304"/>
  </r>
  <r>
    <n v="1398"/>
    <s v="05-04-2024"/>
    <x v="6"/>
    <s v="C252"/>
    <x v="3"/>
    <x v="3"/>
    <x v="15"/>
    <n v="3"/>
    <n v="3590"/>
    <n v="10770"/>
  </r>
  <r>
    <n v="1380"/>
    <s v="19-08-2024"/>
    <x v="10"/>
    <s v="C312"/>
    <x v="0"/>
    <x v="0"/>
    <x v="0"/>
    <n v="1"/>
    <n v="3265"/>
    <n v="3265"/>
  </r>
  <r>
    <n v="1094"/>
    <s v="15-08-2024"/>
    <x v="10"/>
    <s v="C229"/>
    <x v="1"/>
    <x v="3"/>
    <x v="11"/>
    <n v="3"/>
    <n v="4160"/>
    <n v="12480"/>
  </r>
  <r>
    <n v="1335"/>
    <s v="14-03-2024"/>
    <x v="2"/>
    <s v="C296"/>
    <x v="1"/>
    <x v="3"/>
    <x v="7"/>
    <n v="1"/>
    <n v="3963"/>
    <n v="3963"/>
  </r>
  <r>
    <n v="1118"/>
    <s v="03-01-2024"/>
    <x v="0"/>
    <s v="C179"/>
    <x v="2"/>
    <x v="3"/>
    <x v="7"/>
    <n v="4"/>
    <n v="577"/>
    <n v="2308"/>
  </r>
  <r>
    <n v="1319"/>
    <s v="12-01-2024"/>
    <x v="0"/>
    <s v="C247"/>
    <x v="1"/>
    <x v="0"/>
    <x v="0"/>
    <n v="2"/>
    <n v="2547"/>
    <n v="5094"/>
  </r>
  <r>
    <n v="1451"/>
    <s v="09-12-2024"/>
    <x v="7"/>
    <s v="C130"/>
    <x v="3"/>
    <x v="0"/>
    <x v="0"/>
    <n v="1"/>
    <n v="324"/>
    <n v="324"/>
  </r>
  <r>
    <n v="1104"/>
    <s v="15-04-2024"/>
    <x v="6"/>
    <s v="C238"/>
    <x v="3"/>
    <x v="0"/>
    <x v="19"/>
    <n v="2"/>
    <n v="2520"/>
    <n v="5040"/>
  </r>
  <r>
    <n v="1318"/>
    <s v="09-11-2024"/>
    <x v="5"/>
    <s v="C328"/>
    <x v="3"/>
    <x v="0"/>
    <x v="19"/>
    <n v="2"/>
    <n v="437"/>
    <n v="874"/>
  </r>
  <r>
    <n v="1108"/>
    <s v="15-07-2024"/>
    <x v="11"/>
    <s v="C113"/>
    <x v="0"/>
    <x v="3"/>
    <x v="11"/>
    <n v="5"/>
    <n v="3852"/>
    <n v="19260"/>
  </r>
  <r>
    <n v="1202"/>
    <s v="31-12-2024"/>
    <x v="7"/>
    <s v="C294"/>
    <x v="2"/>
    <x v="3"/>
    <x v="11"/>
    <n v="4"/>
    <n v="996"/>
    <n v="3984"/>
  </r>
  <r>
    <n v="1476"/>
    <s v="28-08-2024"/>
    <x v="10"/>
    <s v="C159"/>
    <x v="2"/>
    <x v="1"/>
    <x v="16"/>
    <n v="4"/>
    <n v="1702"/>
    <n v="6808"/>
  </r>
  <r>
    <n v="1332"/>
    <s v="20-08-2024"/>
    <x v="10"/>
    <s v="C224"/>
    <x v="2"/>
    <x v="3"/>
    <x v="4"/>
    <n v="3"/>
    <n v="4121"/>
    <n v="12363"/>
  </r>
  <r>
    <n v="1356"/>
    <s v="05-11-2024"/>
    <x v="5"/>
    <s v="C247"/>
    <x v="0"/>
    <x v="1"/>
    <x v="1"/>
    <n v="1"/>
    <n v="2869"/>
    <n v="2869"/>
  </r>
  <r>
    <n v="1309"/>
    <s v="29-09-2024"/>
    <x v="8"/>
    <s v="C218"/>
    <x v="1"/>
    <x v="2"/>
    <x v="8"/>
    <n v="5"/>
    <n v="2196"/>
    <n v="10980"/>
  </r>
  <r>
    <n v="1393"/>
    <s v="03-02-2024"/>
    <x v="1"/>
    <s v="C187"/>
    <x v="0"/>
    <x v="1"/>
    <x v="1"/>
    <n v="5"/>
    <n v="3003"/>
    <n v="15015"/>
  </r>
  <r>
    <n v="1079"/>
    <s v="30-12-2024"/>
    <x v="7"/>
    <s v="C246"/>
    <x v="2"/>
    <x v="2"/>
    <x v="17"/>
    <n v="5"/>
    <n v="999"/>
    <n v="4995"/>
  </r>
  <r>
    <n v="1415"/>
    <s v="05-02-2024"/>
    <x v="1"/>
    <s v="C253"/>
    <x v="2"/>
    <x v="3"/>
    <x v="7"/>
    <n v="4"/>
    <n v="703"/>
    <n v="2812"/>
  </r>
  <r>
    <n v="1594"/>
    <s v="21-11-2024"/>
    <x v="5"/>
    <s v="C307"/>
    <x v="1"/>
    <x v="3"/>
    <x v="12"/>
    <n v="5"/>
    <n v="2587"/>
    <n v="12935"/>
  </r>
  <r>
    <n v="1200"/>
    <s v="15-04-2024"/>
    <x v="6"/>
    <s v="C274"/>
    <x v="0"/>
    <x v="0"/>
    <x v="13"/>
    <n v="3"/>
    <n v="931"/>
    <n v="2793"/>
  </r>
  <r>
    <n v="1522"/>
    <s v="25-07-2024"/>
    <x v="11"/>
    <s v="C316"/>
    <x v="2"/>
    <x v="1"/>
    <x v="20"/>
    <n v="5"/>
    <n v="635"/>
    <n v="3175"/>
  </r>
  <r>
    <n v="1367"/>
    <s v="26-02-2024"/>
    <x v="1"/>
    <s v="C320"/>
    <x v="0"/>
    <x v="0"/>
    <x v="3"/>
    <n v="5"/>
    <n v="3429"/>
    <n v="17145"/>
  </r>
  <r>
    <n v="1415"/>
    <s v="14-07-2024"/>
    <x v="11"/>
    <s v="C211"/>
    <x v="0"/>
    <x v="1"/>
    <x v="16"/>
    <n v="2"/>
    <n v="4750"/>
    <n v="9500"/>
  </r>
  <r>
    <n v="1427"/>
    <s v="19-03-2024"/>
    <x v="2"/>
    <s v="C173"/>
    <x v="2"/>
    <x v="1"/>
    <x v="16"/>
    <n v="1"/>
    <n v="1379"/>
    <n v="1379"/>
  </r>
  <r>
    <n v="1447"/>
    <s v="10-03-2024"/>
    <x v="2"/>
    <s v="C121"/>
    <x v="0"/>
    <x v="1"/>
    <x v="6"/>
    <n v="5"/>
    <n v="1672"/>
    <n v="8360"/>
  </r>
  <r>
    <n v="1460"/>
    <s v="15-07-2024"/>
    <x v="11"/>
    <s v="C190"/>
    <x v="3"/>
    <x v="1"/>
    <x v="16"/>
    <n v="5"/>
    <n v="4280"/>
    <n v="21400"/>
  </r>
  <r>
    <n v="1513"/>
    <s v="17-05-2024"/>
    <x v="9"/>
    <s v="C205"/>
    <x v="1"/>
    <x v="0"/>
    <x v="3"/>
    <n v="3"/>
    <n v="1127"/>
    <n v="3381"/>
  </r>
  <r>
    <n v="1081"/>
    <s v="13-03-2024"/>
    <x v="2"/>
    <s v="C286"/>
    <x v="2"/>
    <x v="0"/>
    <x v="10"/>
    <n v="2"/>
    <n v="4070"/>
    <n v="8140"/>
  </r>
  <r>
    <n v="1079"/>
    <s v="16-12-2024"/>
    <x v="7"/>
    <s v="C262"/>
    <x v="2"/>
    <x v="0"/>
    <x v="19"/>
    <n v="5"/>
    <n v="288"/>
    <n v="1440"/>
  </r>
  <r>
    <n v="1480"/>
    <s v="20-10-2024"/>
    <x v="4"/>
    <s v="C287"/>
    <x v="3"/>
    <x v="0"/>
    <x v="10"/>
    <n v="3"/>
    <n v="1572"/>
    <n v="4716"/>
  </r>
  <r>
    <n v="1311"/>
    <s v="15-10-2024"/>
    <x v="4"/>
    <s v="C166"/>
    <x v="3"/>
    <x v="3"/>
    <x v="11"/>
    <n v="3"/>
    <n v="423"/>
    <n v="1269"/>
  </r>
  <r>
    <n v="1517"/>
    <s v="09-02-2024"/>
    <x v="1"/>
    <s v="C317"/>
    <x v="3"/>
    <x v="0"/>
    <x v="20"/>
    <n v="3"/>
    <n v="2304"/>
    <n v="6912"/>
  </r>
  <r>
    <n v="1178"/>
    <s v="29-10-2024"/>
    <x v="4"/>
    <s v="C289"/>
    <x v="0"/>
    <x v="1"/>
    <x v="6"/>
    <n v="3"/>
    <n v="2134"/>
    <n v="6402"/>
  </r>
  <r>
    <n v="1033"/>
    <s v="24-06-2024"/>
    <x v="3"/>
    <s v="C121"/>
    <x v="1"/>
    <x v="1"/>
    <x v="1"/>
    <n v="4"/>
    <n v="3338"/>
    <n v="13352"/>
  </r>
  <r>
    <n v="1171"/>
    <s v="17-04-2024"/>
    <x v="6"/>
    <s v="C247"/>
    <x v="2"/>
    <x v="0"/>
    <x v="3"/>
    <n v="1"/>
    <n v="1572"/>
    <n v="1572"/>
  </r>
  <r>
    <n v="1487"/>
    <s v="29-09-2024"/>
    <x v="8"/>
    <s v="C159"/>
    <x v="4"/>
    <x v="2"/>
    <x v="5"/>
    <n v="2"/>
    <n v="4545"/>
    <n v="9090"/>
  </r>
  <r>
    <n v="1459"/>
    <s v="14-07-2024"/>
    <x v="11"/>
    <s v="C273"/>
    <x v="2"/>
    <x v="0"/>
    <x v="19"/>
    <n v="5"/>
    <n v="3098"/>
    <n v="15490"/>
  </r>
  <r>
    <n v="1279"/>
    <s v="20-06-2024"/>
    <x v="3"/>
    <s v="C169"/>
    <x v="0"/>
    <x v="0"/>
    <x v="3"/>
    <n v="4"/>
    <n v="2180"/>
    <n v="8720"/>
  </r>
  <r>
    <n v="1199"/>
    <s v="23-09-2024"/>
    <x v="8"/>
    <s v="C186"/>
    <x v="3"/>
    <x v="1"/>
    <x v="14"/>
    <n v="1"/>
    <n v="297"/>
    <n v="297"/>
  </r>
  <r>
    <n v="1456"/>
    <s v="28-06-2024"/>
    <x v="3"/>
    <s v="C156"/>
    <x v="3"/>
    <x v="0"/>
    <x v="13"/>
    <n v="1"/>
    <n v="953"/>
    <n v="953"/>
  </r>
  <r>
    <n v="1222"/>
    <s v="02-11-2024"/>
    <x v="5"/>
    <s v="C263"/>
    <x v="0"/>
    <x v="3"/>
    <x v="4"/>
    <n v="4"/>
    <n v="4837"/>
    <n v="19348"/>
  </r>
  <r>
    <n v="1113"/>
    <s v="22-12-2024"/>
    <x v="7"/>
    <s v="C147"/>
    <x v="2"/>
    <x v="0"/>
    <x v="13"/>
    <n v="4"/>
    <n v="2464"/>
    <n v="9856"/>
  </r>
  <r>
    <n v="1331"/>
    <s v="11-05-2024"/>
    <x v="9"/>
    <s v="C141"/>
    <x v="0"/>
    <x v="3"/>
    <x v="15"/>
    <n v="4"/>
    <n v="2925"/>
    <n v="11700"/>
  </r>
  <r>
    <n v="1271"/>
    <s v="01-04-2024"/>
    <x v="6"/>
    <s v="C212"/>
    <x v="0"/>
    <x v="3"/>
    <x v="11"/>
    <n v="2"/>
    <n v="4230"/>
    <n v="8460"/>
  </r>
  <r>
    <n v="1441"/>
    <s v="21-04-2024"/>
    <x v="6"/>
    <s v="C257"/>
    <x v="2"/>
    <x v="3"/>
    <x v="11"/>
    <n v="1"/>
    <n v="797"/>
    <n v="797"/>
  </r>
  <r>
    <n v="1456"/>
    <s v="10-01-2024"/>
    <x v="0"/>
    <s v="C329"/>
    <x v="3"/>
    <x v="2"/>
    <x v="18"/>
    <n v="4"/>
    <n v="2382"/>
    <n v="9528"/>
  </r>
  <r>
    <n v="1400"/>
    <s v="21-10-2024"/>
    <x v="4"/>
    <s v="C100"/>
    <x v="0"/>
    <x v="2"/>
    <x v="5"/>
    <n v="1"/>
    <n v="4624"/>
    <n v="4624"/>
  </r>
  <r>
    <n v="1493"/>
    <s v="03-03-2024"/>
    <x v="2"/>
    <s v="C245"/>
    <x v="0"/>
    <x v="0"/>
    <x v="13"/>
    <n v="1"/>
    <n v="942"/>
    <n v="942"/>
  </r>
  <r>
    <n v="1348"/>
    <s v="11-02-2024"/>
    <x v="1"/>
    <s v="C315"/>
    <x v="0"/>
    <x v="2"/>
    <x v="2"/>
    <n v="5"/>
    <n v="522"/>
    <n v="2610"/>
  </r>
  <r>
    <n v="1306"/>
    <s v="22-12-2024"/>
    <x v="7"/>
    <s v="C199"/>
    <x v="2"/>
    <x v="3"/>
    <x v="15"/>
    <n v="4"/>
    <n v="1752"/>
    <n v="7008"/>
  </r>
  <r>
    <n v="1244"/>
    <s v="07-09-2024"/>
    <x v="8"/>
    <s v="C199"/>
    <x v="4"/>
    <x v="3"/>
    <x v="7"/>
    <n v="5"/>
    <n v="3880"/>
    <n v="19400"/>
  </r>
  <r>
    <n v="1347"/>
    <s v="29-01-2024"/>
    <x v="0"/>
    <s v="C186"/>
    <x v="1"/>
    <x v="3"/>
    <x v="11"/>
    <n v="5"/>
    <n v="3954"/>
    <n v="19770"/>
  </r>
  <r>
    <n v="1549"/>
    <s v="17-03-2024"/>
    <x v="2"/>
    <s v="C289"/>
    <x v="0"/>
    <x v="1"/>
    <x v="9"/>
    <n v="4"/>
    <n v="356"/>
    <n v="1424"/>
  </r>
  <r>
    <n v="1046"/>
    <s v="04-05-2024"/>
    <x v="9"/>
    <s v="C279"/>
    <x v="3"/>
    <x v="1"/>
    <x v="9"/>
    <n v="3"/>
    <n v="997"/>
    <n v="2991"/>
  </r>
  <r>
    <n v="1065"/>
    <s v="24-02-2024"/>
    <x v="1"/>
    <s v="C129"/>
    <x v="2"/>
    <x v="2"/>
    <x v="8"/>
    <n v="2"/>
    <n v="3691"/>
    <n v="7382"/>
  </r>
  <r>
    <n v="1411"/>
    <s v="15-06-2024"/>
    <x v="3"/>
    <s v="C130"/>
    <x v="3"/>
    <x v="1"/>
    <x v="14"/>
    <n v="5"/>
    <n v="1620"/>
    <n v="8100"/>
  </r>
  <r>
    <n v="1144"/>
    <s v="31-07-2024"/>
    <x v="11"/>
    <s v="C143"/>
    <x v="1"/>
    <x v="0"/>
    <x v="19"/>
    <n v="2"/>
    <n v="4967"/>
    <n v="9934"/>
  </r>
  <r>
    <n v="1385"/>
    <s v="21-03-2024"/>
    <x v="2"/>
    <s v="C104"/>
    <x v="3"/>
    <x v="2"/>
    <x v="17"/>
    <n v="2"/>
    <n v="930"/>
    <n v="1860"/>
  </r>
  <r>
    <n v="1290"/>
    <s v="01-08-2024"/>
    <x v="10"/>
    <s v="C277"/>
    <x v="0"/>
    <x v="2"/>
    <x v="18"/>
    <n v="3"/>
    <n v="4485"/>
    <n v="13455"/>
  </r>
  <r>
    <n v="1178"/>
    <s v="08-11-2024"/>
    <x v="5"/>
    <s v="C277"/>
    <x v="1"/>
    <x v="3"/>
    <x v="7"/>
    <n v="5"/>
    <n v="921"/>
    <n v="4605"/>
  </r>
  <r>
    <n v="1356"/>
    <s v="02-08-2024"/>
    <x v="10"/>
    <s v="C101"/>
    <x v="2"/>
    <x v="1"/>
    <x v="16"/>
    <n v="5"/>
    <n v="3164"/>
    <n v="15820"/>
  </r>
  <r>
    <n v="1519"/>
    <s v="22-04-2024"/>
    <x v="6"/>
    <s v="C218"/>
    <x v="1"/>
    <x v="1"/>
    <x v="14"/>
    <n v="1"/>
    <n v="1422"/>
    <n v="1422"/>
  </r>
  <r>
    <n v="1485"/>
    <s v="11-09-2024"/>
    <x v="8"/>
    <s v="C145"/>
    <x v="2"/>
    <x v="1"/>
    <x v="9"/>
    <n v="3"/>
    <n v="1916"/>
    <n v="5748"/>
  </r>
  <r>
    <n v="1464"/>
    <s v="23-01-2024"/>
    <x v="0"/>
    <s v="C126"/>
    <x v="0"/>
    <x v="3"/>
    <x v="7"/>
    <n v="1"/>
    <n v="4173"/>
    <n v="4173"/>
  </r>
  <r>
    <n v="1240"/>
    <s v="15-08-2024"/>
    <x v="10"/>
    <s v="C251"/>
    <x v="2"/>
    <x v="0"/>
    <x v="10"/>
    <n v="2"/>
    <n v="1102"/>
    <n v="2204"/>
  </r>
  <r>
    <n v="1422"/>
    <s v="12-04-2024"/>
    <x v="6"/>
    <s v="C196"/>
    <x v="1"/>
    <x v="1"/>
    <x v="9"/>
    <n v="1"/>
    <n v="3770"/>
    <n v="3770"/>
  </r>
  <r>
    <n v="1465"/>
    <s v="01-04-2024"/>
    <x v="6"/>
    <s v="C199"/>
    <x v="1"/>
    <x v="0"/>
    <x v="0"/>
    <n v="3"/>
    <n v="2409"/>
    <n v="7227"/>
  </r>
  <r>
    <n v="1582"/>
    <s v="31-01-2024"/>
    <x v="0"/>
    <s v="C171"/>
    <x v="1"/>
    <x v="1"/>
    <x v="9"/>
    <n v="4"/>
    <n v="1602"/>
    <n v="6408"/>
  </r>
  <r>
    <n v="1302"/>
    <s v="05-11-2024"/>
    <x v="5"/>
    <s v="C140"/>
    <x v="2"/>
    <x v="1"/>
    <x v="1"/>
    <n v="4"/>
    <n v="4474"/>
    <n v="17896"/>
  </r>
  <r>
    <n v="1484"/>
    <s v="24-08-2024"/>
    <x v="10"/>
    <s v="C171"/>
    <x v="1"/>
    <x v="3"/>
    <x v="11"/>
    <n v="3"/>
    <n v="3757"/>
    <n v="11271"/>
  </r>
  <r>
    <n v="1152"/>
    <s v="20-10-2024"/>
    <x v="4"/>
    <s v="C329"/>
    <x v="3"/>
    <x v="3"/>
    <x v="11"/>
    <n v="4"/>
    <n v="4330"/>
    <n v="17320"/>
  </r>
  <r>
    <n v="1490"/>
    <s v="22-12-2024"/>
    <x v="7"/>
    <s v="C310"/>
    <x v="1"/>
    <x v="3"/>
    <x v="11"/>
    <n v="1"/>
    <n v="4775"/>
    <n v="4775"/>
  </r>
  <r>
    <n v="1416"/>
    <s v="21-04-2024"/>
    <x v="6"/>
    <s v="C133"/>
    <x v="2"/>
    <x v="0"/>
    <x v="13"/>
    <n v="1"/>
    <n v="4130"/>
    <n v="4130"/>
  </r>
  <r>
    <n v="1470"/>
    <s v="19-10-2024"/>
    <x v="4"/>
    <s v="C291"/>
    <x v="0"/>
    <x v="3"/>
    <x v="11"/>
    <n v="4"/>
    <n v="1715"/>
    <n v="6860"/>
  </r>
  <r>
    <n v="1475"/>
    <s v="26-12-2024"/>
    <x v="7"/>
    <s v="C262"/>
    <x v="2"/>
    <x v="3"/>
    <x v="4"/>
    <n v="5"/>
    <n v="467"/>
    <n v="2335"/>
  </r>
  <r>
    <n v="1555"/>
    <s v="21-10-2024"/>
    <x v="4"/>
    <s v="C303"/>
    <x v="3"/>
    <x v="1"/>
    <x v="9"/>
    <n v="5"/>
    <n v="3181"/>
    <n v="15905"/>
  </r>
  <r>
    <n v="1374"/>
    <s v="26-08-2024"/>
    <x v="10"/>
    <s v="C258"/>
    <x v="0"/>
    <x v="3"/>
    <x v="15"/>
    <n v="5"/>
    <n v="748"/>
    <n v="3740"/>
  </r>
  <r>
    <n v="1141"/>
    <s v="20-06-2024"/>
    <x v="3"/>
    <s v="C161"/>
    <x v="1"/>
    <x v="3"/>
    <x v="11"/>
    <n v="3"/>
    <n v="3089"/>
    <n v="9267"/>
  </r>
  <r>
    <n v="1433"/>
    <s v="21-05-2024"/>
    <x v="9"/>
    <s v="C113"/>
    <x v="1"/>
    <x v="3"/>
    <x v="15"/>
    <n v="4"/>
    <n v="4307"/>
    <n v="17228"/>
  </r>
  <r>
    <n v="1544"/>
    <s v="13-12-2024"/>
    <x v="7"/>
    <s v="C311"/>
    <x v="2"/>
    <x v="0"/>
    <x v="10"/>
    <n v="2"/>
    <n v="3950"/>
    <n v="7900"/>
  </r>
  <r>
    <n v="1183"/>
    <s v="27-05-2024"/>
    <x v="9"/>
    <s v="C345"/>
    <x v="3"/>
    <x v="3"/>
    <x v="4"/>
    <n v="1"/>
    <n v="1412"/>
    <n v="1412"/>
  </r>
  <r>
    <n v="1533"/>
    <s v="17-11-2024"/>
    <x v="5"/>
    <s v="C105"/>
    <x v="1"/>
    <x v="0"/>
    <x v="10"/>
    <n v="3"/>
    <n v="3641"/>
    <n v="10923"/>
  </r>
  <r>
    <n v="1298"/>
    <s v="06-04-2024"/>
    <x v="6"/>
    <s v="C116"/>
    <x v="0"/>
    <x v="3"/>
    <x v="12"/>
    <n v="5"/>
    <n v="3008"/>
    <n v="15040"/>
  </r>
  <r>
    <n v="1497"/>
    <s v="30-10-2024"/>
    <x v="4"/>
    <s v="C270"/>
    <x v="0"/>
    <x v="2"/>
    <x v="5"/>
    <n v="3"/>
    <n v="1606"/>
    <n v="4818"/>
  </r>
  <r>
    <n v="1380"/>
    <s v="27-05-2024"/>
    <x v="9"/>
    <s v="C297"/>
    <x v="3"/>
    <x v="3"/>
    <x v="12"/>
    <n v="4"/>
    <n v="1562"/>
    <n v="6248"/>
  </r>
  <r>
    <n v="1548"/>
    <s v="26-05-2024"/>
    <x v="9"/>
    <s v="C146"/>
    <x v="1"/>
    <x v="1"/>
    <x v="16"/>
    <n v="1"/>
    <n v="537"/>
    <n v="537"/>
  </r>
  <r>
    <n v="1451"/>
    <s v="13-05-2024"/>
    <x v="9"/>
    <s v="C194"/>
    <x v="2"/>
    <x v="1"/>
    <x v="16"/>
    <n v="3"/>
    <n v="1411"/>
    <n v="4233"/>
  </r>
  <r>
    <n v="1166"/>
    <s v="30-09-2024"/>
    <x v="8"/>
    <s v="C177"/>
    <x v="1"/>
    <x v="3"/>
    <x v="4"/>
    <n v="2"/>
    <n v="3952"/>
    <n v="7904"/>
  </r>
  <r>
    <n v="1559"/>
    <s v="16-09-2024"/>
    <x v="8"/>
    <s v="C184"/>
    <x v="0"/>
    <x v="0"/>
    <x v="10"/>
    <n v="5"/>
    <n v="3821"/>
    <n v="19105"/>
  </r>
  <r>
    <n v="1490"/>
    <s v="21-01-2024"/>
    <x v="0"/>
    <s v="C135"/>
    <x v="0"/>
    <x v="3"/>
    <x v="15"/>
    <n v="5"/>
    <n v="2005"/>
    <n v="10025"/>
  </r>
  <r>
    <n v="1056"/>
    <s v="07-11-2024"/>
    <x v="5"/>
    <s v="C264"/>
    <x v="3"/>
    <x v="1"/>
    <x v="1"/>
    <n v="2"/>
    <n v="384"/>
    <n v="768"/>
  </r>
  <r>
    <n v="1089"/>
    <s v="19-09-2024"/>
    <x v="8"/>
    <s v="C200"/>
    <x v="3"/>
    <x v="1"/>
    <x v="6"/>
    <n v="3"/>
    <n v="3456"/>
    <n v="10368"/>
  </r>
  <r>
    <n v="1378"/>
    <s v="16-07-2024"/>
    <x v="11"/>
    <s v="C195"/>
    <x v="2"/>
    <x v="3"/>
    <x v="15"/>
    <n v="3"/>
    <n v="3850"/>
    <n v="11550"/>
  </r>
  <r>
    <n v="1454"/>
    <s v="31-07-2024"/>
    <x v="11"/>
    <s v="C305"/>
    <x v="0"/>
    <x v="2"/>
    <x v="2"/>
    <n v="4"/>
    <n v="1343"/>
    <n v="5372"/>
  </r>
  <r>
    <n v="1147"/>
    <s v="16-04-2024"/>
    <x v="6"/>
    <s v="C177"/>
    <x v="2"/>
    <x v="2"/>
    <x v="8"/>
    <n v="5"/>
    <n v="3278"/>
    <n v="16390"/>
  </r>
  <r>
    <n v="1279"/>
    <s v="31-07-2024"/>
    <x v="11"/>
    <s v="C144"/>
    <x v="1"/>
    <x v="2"/>
    <x v="8"/>
    <n v="2"/>
    <n v="3327"/>
    <n v="6654"/>
  </r>
  <r>
    <n v="1309"/>
    <s v="26-10-2024"/>
    <x v="4"/>
    <s v="C177"/>
    <x v="1"/>
    <x v="2"/>
    <x v="8"/>
    <n v="1"/>
    <n v="220"/>
    <n v="220"/>
  </r>
  <r>
    <n v="1483"/>
    <s v="04-03-2024"/>
    <x v="2"/>
    <s v="C267"/>
    <x v="1"/>
    <x v="0"/>
    <x v="10"/>
    <n v="2"/>
    <n v="433"/>
    <n v="866"/>
  </r>
  <r>
    <n v="1068"/>
    <s v="02-11-2024"/>
    <x v="5"/>
    <s v="C290"/>
    <x v="0"/>
    <x v="0"/>
    <x v="19"/>
    <n v="3"/>
    <n v="4099"/>
    <n v="12297"/>
  </r>
  <r>
    <n v="1382"/>
    <s v="19-09-2024"/>
    <x v="8"/>
    <s v="C287"/>
    <x v="3"/>
    <x v="3"/>
    <x v="15"/>
    <n v="2"/>
    <n v="2818"/>
    <n v="5636"/>
  </r>
  <r>
    <n v="1365"/>
    <s v="24-03-2024"/>
    <x v="2"/>
    <s v="C113"/>
    <x v="2"/>
    <x v="0"/>
    <x v="13"/>
    <n v="1"/>
    <n v="2574"/>
    <n v="2574"/>
  </r>
  <r>
    <n v="1078"/>
    <s v="20-09-2024"/>
    <x v="8"/>
    <s v="C149"/>
    <x v="2"/>
    <x v="1"/>
    <x v="9"/>
    <n v="3"/>
    <n v="2666"/>
    <n v="7998"/>
  </r>
  <r>
    <n v="1371"/>
    <s v="19-02-2024"/>
    <x v="1"/>
    <s v="C236"/>
    <x v="0"/>
    <x v="0"/>
    <x v="0"/>
    <n v="5"/>
    <n v="2505"/>
    <n v="12525"/>
  </r>
  <r>
    <n v="1348"/>
    <s v="24-03-2024"/>
    <x v="2"/>
    <s v="C126"/>
    <x v="1"/>
    <x v="1"/>
    <x v="16"/>
    <n v="5"/>
    <n v="4506"/>
    <n v="22530"/>
  </r>
  <r>
    <n v="1116"/>
    <s v="01-08-2024"/>
    <x v="10"/>
    <s v="C217"/>
    <x v="3"/>
    <x v="3"/>
    <x v="4"/>
    <n v="4"/>
    <n v="3052"/>
    <n v="12208"/>
  </r>
  <r>
    <n v="1452"/>
    <s v="01-11-2024"/>
    <x v="5"/>
    <s v="C233"/>
    <x v="3"/>
    <x v="0"/>
    <x v="0"/>
    <n v="1"/>
    <n v="2021"/>
    <n v="2021"/>
  </r>
  <r>
    <n v="1232"/>
    <s v="06-06-2024"/>
    <x v="3"/>
    <s v="C132"/>
    <x v="0"/>
    <x v="1"/>
    <x v="20"/>
    <n v="1"/>
    <n v="836"/>
    <n v="836"/>
  </r>
  <r>
    <n v="1441"/>
    <s v="22-01-2024"/>
    <x v="0"/>
    <s v="C150"/>
    <x v="1"/>
    <x v="3"/>
    <x v="4"/>
    <n v="1"/>
    <n v="2272"/>
    <n v="2272"/>
  </r>
  <r>
    <n v="1010"/>
    <s v="19-02-2024"/>
    <x v="1"/>
    <s v="C300"/>
    <x v="1"/>
    <x v="3"/>
    <x v="7"/>
    <n v="2"/>
    <n v="3079"/>
    <n v="6158"/>
  </r>
  <r>
    <n v="1284"/>
    <s v="23-10-2024"/>
    <x v="4"/>
    <s v="C189"/>
    <x v="2"/>
    <x v="0"/>
    <x v="0"/>
    <n v="1"/>
    <n v="4936"/>
    <n v="4936"/>
  </r>
  <r>
    <n v="1196"/>
    <s v="24-05-2024"/>
    <x v="9"/>
    <s v="C143"/>
    <x v="1"/>
    <x v="3"/>
    <x v="4"/>
    <n v="3"/>
    <n v="1716"/>
    <n v="5148"/>
  </r>
  <r>
    <n v="1185"/>
    <s v="30-06-2024"/>
    <x v="3"/>
    <s v="C197"/>
    <x v="0"/>
    <x v="2"/>
    <x v="18"/>
    <n v="1"/>
    <n v="2774"/>
    <n v="2774"/>
  </r>
  <r>
    <n v="1139"/>
    <s v="10-09-2024"/>
    <x v="8"/>
    <s v="C295"/>
    <x v="2"/>
    <x v="0"/>
    <x v="13"/>
    <n v="3"/>
    <n v="4244"/>
    <n v="12732"/>
  </r>
  <r>
    <n v="1319"/>
    <s v="17-12-2024"/>
    <x v="7"/>
    <s v="C349"/>
    <x v="3"/>
    <x v="2"/>
    <x v="18"/>
    <n v="4"/>
    <n v="1746"/>
    <n v="6984"/>
  </r>
  <r>
    <n v="1487"/>
    <s v="13-12-2024"/>
    <x v="7"/>
    <s v="C194"/>
    <x v="2"/>
    <x v="1"/>
    <x v="9"/>
    <n v="4"/>
    <n v="3788"/>
    <n v="15152"/>
  </r>
  <r>
    <n v="1122"/>
    <s v="14-03-2024"/>
    <x v="2"/>
    <s v="C201"/>
    <x v="0"/>
    <x v="2"/>
    <x v="8"/>
    <n v="1"/>
    <n v="3179"/>
    <n v="3179"/>
  </r>
  <r>
    <n v="1413"/>
    <s v="03-03-2024"/>
    <x v="2"/>
    <s v="C159"/>
    <x v="3"/>
    <x v="2"/>
    <x v="5"/>
    <n v="4"/>
    <n v="3117"/>
    <n v="12468"/>
  </r>
  <r>
    <n v="1414"/>
    <s v="05-09-2024"/>
    <x v="8"/>
    <s v="C230"/>
    <x v="2"/>
    <x v="0"/>
    <x v="0"/>
    <n v="1"/>
    <n v="2253"/>
    <n v="2253"/>
  </r>
  <r>
    <n v="1137"/>
    <s v="16-01-2024"/>
    <x v="0"/>
    <s v="C125"/>
    <x v="3"/>
    <x v="3"/>
    <x v="4"/>
    <n v="2"/>
    <n v="3334"/>
    <n v="6668"/>
  </r>
  <r>
    <n v="1310"/>
    <s v="14-11-2024"/>
    <x v="5"/>
    <s v="C259"/>
    <x v="1"/>
    <x v="3"/>
    <x v="4"/>
    <n v="2"/>
    <n v="2604"/>
    <n v="5208"/>
  </r>
  <r>
    <n v="1267"/>
    <s v="04-10-2024"/>
    <x v="4"/>
    <s v="C187"/>
    <x v="2"/>
    <x v="3"/>
    <x v="4"/>
    <n v="4"/>
    <n v="3887"/>
    <n v="15548"/>
  </r>
  <r>
    <n v="1470"/>
    <s v="19-01-2024"/>
    <x v="0"/>
    <s v="C108"/>
    <x v="0"/>
    <x v="1"/>
    <x v="1"/>
    <n v="4"/>
    <n v="3728"/>
    <n v="14912"/>
  </r>
  <r>
    <n v="1499"/>
    <s v="26-02-2024"/>
    <x v="1"/>
    <s v="C245"/>
    <x v="1"/>
    <x v="2"/>
    <x v="8"/>
    <n v="5"/>
    <n v="1480"/>
    <n v="7400"/>
  </r>
  <r>
    <n v="1506"/>
    <s v="29-10-2024"/>
    <x v="4"/>
    <s v="C348"/>
    <x v="3"/>
    <x v="2"/>
    <x v="8"/>
    <n v="3"/>
    <n v="703"/>
    <n v="2109"/>
  </r>
  <r>
    <n v="1375"/>
    <s v="27-06-2024"/>
    <x v="3"/>
    <s v="C307"/>
    <x v="2"/>
    <x v="3"/>
    <x v="15"/>
    <n v="4"/>
    <n v="3027"/>
    <n v="12108"/>
  </r>
  <r>
    <n v="1057"/>
    <s v="04-12-2024"/>
    <x v="7"/>
    <s v="C162"/>
    <x v="2"/>
    <x v="1"/>
    <x v="16"/>
    <n v="1"/>
    <n v="2697"/>
    <n v="2697"/>
  </r>
  <r>
    <n v="1551"/>
    <s v="15-06-2024"/>
    <x v="3"/>
    <s v="C109"/>
    <x v="3"/>
    <x v="2"/>
    <x v="5"/>
    <n v="1"/>
    <n v="4047"/>
    <n v="4047"/>
  </r>
  <r>
    <n v="1386"/>
    <s v="19-10-2024"/>
    <x v="4"/>
    <s v="C199"/>
    <x v="1"/>
    <x v="0"/>
    <x v="19"/>
    <n v="1"/>
    <n v="1886"/>
    <n v="1886"/>
  </r>
  <r>
    <n v="1347"/>
    <s v="26-03-2024"/>
    <x v="2"/>
    <s v="C257"/>
    <x v="1"/>
    <x v="0"/>
    <x v="13"/>
    <n v="4"/>
    <n v="817"/>
    <n v="3268"/>
  </r>
  <r>
    <n v="1294"/>
    <s v="15-05-2024"/>
    <x v="9"/>
    <s v="C112"/>
    <x v="1"/>
    <x v="0"/>
    <x v="19"/>
    <n v="5"/>
    <n v="953"/>
    <n v="4765"/>
  </r>
  <r>
    <n v="1344"/>
    <s v="19-05-2024"/>
    <x v="9"/>
    <s v="C117"/>
    <x v="2"/>
    <x v="2"/>
    <x v="5"/>
    <n v="1"/>
    <n v="2672"/>
    <n v="2672"/>
  </r>
  <r>
    <n v="1552"/>
    <s v="09-06-2024"/>
    <x v="3"/>
    <s v="C151"/>
    <x v="1"/>
    <x v="2"/>
    <x v="5"/>
    <n v="5"/>
    <n v="1679"/>
    <n v="8395"/>
  </r>
  <r>
    <n v="1528"/>
    <s v="05-04-2024"/>
    <x v="6"/>
    <s v="C247"/>
    <x v="3"/>
    <x v="2"/>
    <x v="18"/>
    <n v="5"/>
    <n v="3753"/>
    <n v="18765"/>
  </r>
  <r>
    <n v="1061"/>
    <s v="24-09-2024"/>
    <x v="8"/>
    <s v="C151"/>
    <x v="1"/>
    <x v="0"/>
    <x v="10"/>
    <n v="2"/>
    <n v="2659"/>
    <n v="5318"/>
  </r>
  <r>
    <n v="1065"/>
    <s v="20-11-2024"/>
    <x v="5"/>
    <s v="C152"/>
    <x v="0"/>
    <x v="2"/>
    <x v="2"/>
    <n v="3"/>
    <n v="2134"/>
    <n v="6402"/>
  </r>
  <r>
    <n v="1196"/>
    <s v="15-01-2024"/>
    <x v="0"/>
    <s v="C162"/>
    <x v="0"/>
    <x v="0"/>
    <x v="10"/>
    <n v="4"/>
    <n v="503"/>
    <n v="2012"/>
  </r>
  <r>
    <n v="1029"/>
    <s v="12-05-2024"/>
    <x v="9"/>
    <s v="C302"/>
    <x v="3"/>
    <x v="0"/>
    <x v="19"/>
    <n v="4"/>
    <n v="363"/>
    <n v="1452"/>
  </r>
  <r>
    <n v="1321"/>
    <s v="04-11-2024"/>
    <x v="5"/>
    <s v="C176"/>
    <x v="2"/>
    <x v="3"/>
    <x v="11"/>
    <n v="4"/>
    <n v="1351"/>
    <n v="5404"/>
  </r>
  <r>
    <n v="1512"/>
    <s v="02-03-2024"/>
    <x v="2"/>
    <s v="C233"/>
    <x v="1"/>
    <x v="0"/>
    <x v="10"/>
    <n v="5"/>
    <n v="1201"/>
    <n v="6005"/>
  </r>
  <r>
    <n v="1598"/>
    <s v="18-07-2024"/>
    <x v="11"/>
    <s v="C306"/>
    <x v="0"/>
    <x v="1"/>
    <x v="6"/>
    <n v="1"/>
    <n v="1634"/>
    <n v="1634"/>
  </r>
  <r>
    <n v="1418"/>
    <s v="10-05-2024"/>
    <x v="9"/>
    <s v="C320"/>
    <x v="2"/>
    <x v="3"/>
    <x v="11"/>
    <n v="3"/>
    <n v="4670"/>
    <n v="14010"/>
  </r>
  <r>
    <n v="1284"/>
    <s v="15-03-2024"/>
    <x v="2"/>
    <s v="C192"/>
    <x v="3"/>
    <x v="2"/>
    <x v="2"/>
    <n v="5"/>
    <n v="485"/>
    <n v="2425"/>
  </r>
  <r>
    <n v="1055"/>
    <s v="19-12-2024"/>
    <x v="7"/>
    <s v="C334"/>
    <x v="3"/>
    <x v="1"/>
    <x v="14"/>
    <n v="3"/>
    <n v="1199"/>
    <n v="3597"/>
  </r>
  <r>
    <n v="1453"/>
    <s v="17-07-2024"/>
    <x v="11"/>
    <s v="C102"/>
    <x v="2"/>
    <x v="2"/>
    <x v="2"/>
    <n v="2"/>
    <n v="2636"/>
    <n v="5272"/>
  </r>
  <r>
    <n v="1449"/>
    <s v="19-11-2024"/>
    <x v="5"/>
    <s v="C181"/>
    <x v="2"/>
    <x v="2"/>
    <x v="17"/>
    <n v="4"/>
    <n v="4059"/>
    <n v="16236"/>
  </r>
  <r>
    <n v="1340"/>
    <s v="04-08-2024"/>
    <x v="10"/>
    <s v="C324"/>
    <x v="2"/>
    <x v="3"/>
    <x v="12"/>
    <n v="3"/>
    <n v="3647"/>
    <n v="10941"/>
  </r>
  <r>
    <n v="1334"/>
    <s v="20-08-2024"/>
    <x v="10"/>
    <s v="C277"/>
    <x v="1"/>
    <x v="3"/>
    <x v="4"/>
    <n v="2"/>
    <n v="225"/>
    <n v="450"/>
  </r>
  <r>
    <n v="1321"/>
    <s v="21-10-2024"/>
    <x v="4"/>
    <s v="C121"/>
    <x v="0"/>
    <x v="3"/>
    <x v="12"/>
    <n v="5"/>
    <n v="3561"/>
    <n v="17805"/>
  </r>
  <r>
    <n v="1489"/>
    <s v="09-03-2024"/>
    <x v="2"/>
    <s v="C166"/>
    <x v="3"/>
    <x v="1"/>
    <x v="1"/>
    <n v="2"/>
    <n v="891"/>
    <n v="1782"/>
  </r>
  <r>
    <n v="1386"/>
    <s v="19-10-2024"/>
    <x v="4"/>
    <s v="C157"/>
    <x v="2"/>
    <x v="3"/>
    <x v="4"/>
    <n v="4"/>
    <n v="1824"/>
    <n v="7296"/>
  </r>
  <r>
    <n v="1050"/>
    <s v="24-07-2024"/>
    <x v="11"/>
    <s v="C258"/>
    <x v="0"/>
    <x v="2"/>
    <x v="8"/>
    <n v="1"/>
    <n v="3214"/>
    <n v="3214"/>
  </r>
  <r>
    <n v="1014"/>
    <s v="26-09-2024"/>
    <x v="8"/>
    <s v="C211"/>
    <x v="1"/>
    <x v="2"/>
    <x v="5"/>
    <n v="2"/>
    <n v="1760"/>
    <n v="3520"/>
  </r>
  <r>
    <n v="1272"/>
    <s v="27-05-2024"/>
    <x v="9"/>
    <s v="C291"/>
    <x v="0"/>
    <x v="2"/>
    <x v="5"/>
    <n v="2"/>
    <n v="1965"/>
    <n v="3930"/>
  </r>
  <r>
    <n v="1193"/>
    <s v="02-08-2024"/>
    <x v="10"/>
    <s v="C146"/>
    <x v="3"/>
    <x v="2"/>
    <x v="18"/>
    <n v="3"/>
    <n v="2129"/>
    <n v="6387"/>
  </r>
  <r>
    <n v="1378"/>
    <s v="25-10-2024"/>
    <x v="4"/>
    <s v="C275"/>
    <x v="1"/>
    <x v="2"/>
    <x v="17"/>
    <n v="2"/>
    <n v="2848"/>
    <n v="5696"/>
  </r>
  <r>
    <n v="1217"/>
    <s v="31-12-2024"/>
    <x v="7"/>
    <s v="C198"/>
    <x v="2"/>
    <x v="2"/>
    <x v="8"/>
    <n v="1"/>
    <n v="4762"/>
    <n v="4762"/>
  </r>
  <r>
    <n v="1240"/>
    <s v="29-08-2024"/>
    <x v="10"/>
    <s v="C332"/>
    <x v="3"/>
    <x v="0"/>
    <x v="19"/>
    <n v="3"/>
    <n v="4333"/>
    <n v="12999"/>
  </r>
  <r>
    <n v="1404"/>
    <s v="09-12-2024"/>
    <x v="7"/>
    <s v="C194"/>
    <x v="0"/>
    <x v="1"/>
    <x v="1"/>
    <n v="3"/>
    <n v="1591"/>
    <n v="4773"/>
  </r>
  <r>
    <n v="1479"/>
    <s v="08-03-2024"/>
    <x v="2"/>
    <s v="C122"/>
    <x v="0"/>
    <x v="0"/>
    <x v="19"/>
    <n v="3"/>
    <n v="1157"/>
    <n v="3471"/>
  </r>
  <r>
    <n v="1511"/>
    <s v="23-05-2024"/>
    <x v="9"/>
    <s v="C291"/>
    <x v="3"/>
    <x v="0"/>
    <x v="10"/>
    <n v="5"/>
    <n v="2360"/>
    <n v="11800"/>
  </r>
  <r>
    <n v="1168"/>
    <s v="10-06-2024"/>
    <x v="3"/>
    <s v="C288"/>
    <x v="3"/>
    <x v="2"/>
    <x v="18"/>
    <n v="2"/>
    <n v="1417"/>
    <n v="2834"/>
  </r>
  <r>
    <n v="1481"/>
    <s v="13-05-2024"/>
    <x v="9"/>
    <s v="C141"/>
    <x v="1"/>
    <x v="2"/>
    <x v="5"/>
    <n v="1"/>
    <n v="3816"/>
    <n v="3816"/>
  </r>
  <r>
    <n v="1496"/>
    <s v="22-08-2024"/>
    <x v="10"/>
    <s v="C226"/>
    <x v="2"/>
    <x v="3"/>
    <x v="12"/>
    <n v="1"/>
    <n v="1868"/>
    <n v="1868"/>
  </r>
  <r>
    <n v="1172"/>
    <s v="17-09-2024"/>
    <x v="8"/>
    <s v="C310"/>
    <x v="3"/>
    <x v="0"/>
    <x v="19"/>
    <n v="5"/>
    <n v="4875"/>
    <n v="24375"/>
  </r>
  <r>
    <n v="1252"/>
    <s v="12-09-2024"/>
    <x v="8"/>
    <s v="C273"/>
    <x v="3"/>
    <x v="3"/>
    <x v="15"/>
    <n v="1"/>
    <n v="3429"/>
    <n v="3429"/>
  </r>
  <r>
    <n v="1108"/>
    <s v="14-06-2024"/>
    <x v="3"/>
    <s v="C139"/>
    <x v="4"/>
    <x v="3"/>
    <x v="4"/>
    <n v="4"/>
    <n v="2406"/>
    <n v="9624"/>
  </r>
  <r>
    <n v="1044"/>
    <s v="01-12-2024"/>
    <x v="7"/>
    <s v="C259"/>
    <x v="1"/>
    <x v="2"/>
    <x v="2"/>
    <n v="1"/>
    <n v="2517"/>
    <n v="2517"/>
  </r>
  <r>
    <n v="1072"/>
    <s v="07-10-2024"/>
    <x v="4"/>
    <s v="C343"/>
    <x v="3"/>
    <x v="2"/>
    <x v="17"/>
    <n v="2"/>
    <n v="2166"/>
    <n v="4332"/>
  </r>
  <r>
    <n v="1091"/>
    <s v="11-01-2024"/>
    <x v="0"/>
    <s v="C318"/>
    <x v="0"/>
    <x v="1"/>
    <x v="16"/>
    <n v="3"/>
    <n v="1462"/>
    <n v="4386"/>
  </r>
  <r>
    <n v="1442"/>
    <s v="07-06-2024"/>
    <x v="3"/>
    <s v="C331"/>
    <x v="2"/>
    <x v="1"/>
    <x v="14"/>
    <n v="5"/>
    <n v="1837"/>
    <n v="9185"/>
  </r>
  <r>
    <n v="1487"/>
    <s v="17-05-2024"/>
    <x v="9"/>
    <s v="C244"/>
    <x v="2"/>
    <x v="2"/>
    <x v="17"/>
    <n v="5"/>
    <n v="1726"/>
    <n v="8630"/>
  </r>
  <r>
    <n v="1041"/>
    <s v="19-09-2024"/>
    <x v="8"/>
    <s v="C187"/>
    <x v="1"/>
    <x v="2"/>
    <x v="18"/>
    <n v="5"/>
    <n v="4498"/>
    <n v="22490"/>
  </r>
  <r>
    <n v="1081"/>
    <s v="01-09-2024"/>
    <x v="8"/>
    <s v="C176"/>
    <x v="1"/>
    <x v="1"/>
    <x v="16"/>
    <n v="5"/>
    <n v="3703"/>
    <n v="18515"/>
  </r>
  <r>
    <n v="1078"/>
    <s v="24-01-2024"/>
    <x v="0"/>
    <s v="C231"/>
    <x v="0"/>
    <x v="3"/>
    <x v="7"/>
    <n v="1"/>
    <n v="4006"/>
    <n v="4006"/>
  </r>
  <r>
    <n v="1259"/>
    <s v="30-06-2024"/>
    <x v="3"/>
    <s v="C165"/>
    <x v="2"/>
    <x v="3"/>
    <x v="7"/>
    <n v="4"/>
    <n v="1670"/>
    <n v="6680"/>
  </r>
  <r>
    <n v="1046"/>
    <s v="12-02-2024"/>
    <x v="1"/>
    <s v="C206"/>
    <x v="1"/>
    <x v="0"/>
    <x v="13"/>
    <n v="5"/>
    <n v="2371"/>
    <n v="11855"/>
  </r>
  <r>
    <n v="1191"/>
    <s v="18-04-2024"/>
    <x v="6"/>
    <s v="C147"/>
    <x v="2"/>
    <x v="3"/>
    <x v="20"/>
    <n v="4"/>
    <n v="4577"/>
    <n v="18308"/>
  </r>
  <r>
    <n v="1013"/>
    <s v="28-03-2024"/>
    <x v="2"/>
    <s v="C267"/>
    <x v="1"/>
    <x v="2"/>
    <x v="5"/>
    <n v="3"/>
    <n v="3155"/>
    <n v="9465"/>
  </r>
  <r>
    <n v="1404"/>
    <s v="03-06-2024"/>
    <x v="3"/>
    <s v="C122"/>
    <x v="1"/>
    <x v="1"/>
    <x v="16"/>
    <n v="1"/>
    <n v="330"/>
    <n v="330"/>
  </r>
  <r>
    <n v="1027"/>
    <s v="17-04-2024"/>
    <x v="6"/>
    <s v="C223"/>
    <x v="1"/>
    <x v="1"/>
    <x v="16"/>
    <n v="1"/>
    <n v="2665"/>
    <n v="2665"/>
  </r>
  <r>
    <n v="1432"/>
    <s v="12-01-2024"/>
    <x v="0"/>
    <s v="C129"/>
    <x v="1"/>
    <x v="1"/>
    <x v="16"/>
    <n v="4"/>
    <n v="360"/>
    <n v="1440"/>
  </r>
  <r>
    <n v="1206"/>
    <s v="30-05-2024"/>
    <x v="9"/>
    <s v="C245"/>
    <x v="3"/>
    <x v="2"/>
    <x v="17"/>
    <n v="1"/>
    <n v="3737"/>
    <n v="3737"/>
  </r>
  <r>
    <n v="1592"/>
    <s v="01-11-2024"/>
    <x v="5"/>
    <s v="C287"/>
    <x v="0"/>
    <x v="0"/>
    <x v="3"/>
    <n v="4"/>
    <n v="4405"/>
    <n v="17620"/>
  </r>
  <r>
    <n v="1499"/>
    <s v="28-04-2024"/>
    <x v="6"/>
    <s v="C282"/>
    <x v="0"/>
    <x v="3"/>
    <x v="7"/>
    <n v="5"/>
    <n v="2787"/>
    <n v="13935"/>
  </r>
  <r>
    <n v="1427"/>
    <s v="30-08-2024"/>
    <x v="10"/>
    <s v="C129"/>
    <x v="1"/>
    <x v="2"/>
    <x v="8"/>
    <n v="4"/>
    <n v="370"/>
    <n v="1480"/>
  </r>
  <r>
    <n v="1480"/>
    <s v="25-06-2024"/>
    <x v="3"/>
    <s v="C212"/>
    <x v="2"/>
    <x v="1"/>
    <x v="1"/>
    <n v="5"/>
    <n v="4037"/>
    <n v="20185"/>
  </r>
  <r>
    <n v="1399"/>
    <s v="01-08-2024"/>
    <x v="10"/>
    <s v="C313"/>
    <x v="1"/>
    <x v="0"/>
    <x v="10"/>
    <n v="3"/>
    <n v="906"/>
    <n v="2718"/>
  </r>
  <r>
    <n v="1204"/>
    <s v="21-03-2024"/>
    <x v="2"/>
    <s v="C255"/>
    <x v="1"/>
    <x v="2"/>
    <x v="17"/>
    <n v="3"/>
    <n v="2122"/>
    <n v="6366"/>
  </r>
  <r>
    <n v="1018"/>
    <s v="02-07-2024"/>
    <x v="11"/>
    <s v="C325"/>
    <x v="0"/>
    <x v="0"/>
    <x v="13"/>
    <n v="5"/>
    <n v="461"/>
    <n v="2305"/>
  </r>
  <r>
    <n v="1116"/>
    <s v="12-11-2024"/>
    <x v="5"/>
    <s v="C158"/>
    <x v="1"/>
    <x v="3"/>
    <x v="7"/>
    <n v="3"/>
    <n v="2987"/>
    <n v="8961"/>
  </r>
  <r>
    <n v="1570"/>
    <s v="16-05-2024"/>
    <x v="9"/>
    <s v="C329"/>
    <x v="3"/>
    <x v="1"/>
    <x v="1"/>
    <n v="4"/>
    <n v="3944"/>
    <n v="15776"/>
  </r>
  <r>
    <n v="1108"/>
    <s v="08-11-2024"/>
    <x v="5"/>
    <s v="C256"/>
    <x v="2"/>
    <x v="3"/>
    <x v="7"/>
    <n v="2"/>
    <n v="1167"/>
    <n v="2334"/>
  </r>
  <r>
    <n v="1160"/>
    <s v="29-05-2024"/>
    <x v="9"/>
    <s v="C281"/>
    <x v="2"/>
    <x v="2"/>
    <x v="8"/>
    <n v="2"/>
    <n v="3179"/>
    <n v="6358"/>
  </r>
  <r>
    <n v="1206"/>
    <s v="12-08-2024"/>
    <x v="10"/>
    <s v="C348"/>
    <x v="1"/>
    <x v="2"/>
    <x v="17"/>
    <n v="3"/>
    <n v="2549"/>
    <n v="7647"/>
  </r>
  <r>
    <n v="1381"/>
    <s v="31-07-2024"/>
    <x v="11"/>
    <s v="C192"/>
    <x v="1"/>
    <x v="1"/>
    <x v="16"/>
    <n v="2"/>
    <n v="3712"/>
    <n v="7424"/>
  </r>
  <r>
    <n v="1469"/>
    <s v="21-09-2024"/>
    <x v="8"/>
    <s v="C303"/>
    <x v="0"/>
    <x v="0"/>
    <x v="3"/>
    <n v="1"/>
    <n v="4438"/>
    <n v="4438"/>
  </r>
  <r>
    <n v="1322"/>
    <s v="24-07-2024"/>
    <x v="11"/>
    <s v="C297"/>
    <x v="0"/>
    <x v="1"/>
    <x v="6"/>
    <n v="1"/>
    <n v="1436"/>
    <n v="1436"/>
  </r>
  <r>
    <n v="1532"/>
    <s v="31-05-2024"/>
    <x v="9"/>
    <s v="C207"/>
    <x v="2"/>
    <x v="2"/>
    <x v="8"/>
    <n v="3"/>
    <n v="264"/>
    <n v="792"/>
  </r>
  <r>
    <n v="1150"/>
    <s v="24-12-2024"/>
    <x v="7"/>
    <s v="C203"/>
    <x v="2"/>
    <x v="2"/>
    <x v="18"/>
    <n v="4"/>
    <n v="1816"/>
    <n v="7264"/>
  </r>
  <r>
    <n v="1550"/>
    <s v="20-06-2024"/>
    <x v="3"/>
    <s v="C199"/>
    <x v="1"/>
    <x v="1"/>
    <x v="1"/>
    <n v="1"/>
    <n v="4391"/>
    <n v="4391"/>
  </r>
  <r>
    <n v="1163"/>
    <s v="12-01-2024"/>
    <x v="0"/>
    <s v="C107"/>
    <x v="0"/>
    <x v="0"/>
    <x v="0"/>
    <n v="5"/>
    <n v="1104"/>
    <n v="5520"/>
  </r>
  <r>
    <n v="1265"/>
    <s v="17-11-2024"/>
    <x v="5"/>
    <s v="C229"/>
    <x v="4"/>
    <x v="0"/>
    <x v="3"/>
    <n v="4"/>
    <n v="2640"/>
    <n v="10560"/>
  </r>
  <r>
    <n v="1347"/>
    <s v="30-04-2024"/>
    <x v="6"/>
    <s v="C306"/>
    <x v="3"/>
    <x v="1"/>
    <x v="14"/>
    <n v="5"/>
    <n v="1346"/>
    <n v="6730"/>
  </r>
  <r>
    <n v="1253"/>
    <s v="23-02-2024"/>
    <x v="1"/>
    <s v="C183"/>
    <x v="2"/>
    <x v="1"/>
    <x v="14"/>
    <n v="2"/>
    <n v="3687"/>
    <n v="7374"/>
  </r>
  <r>
    <n v="1063"/>
    <s v="05-08-2024"/>
    <x v="10"/>
    <s v="C327"/>
    <x v="1"/>
    <x v="1"/>
    <x v="6"/>
    <n v="1"/>
    <n v="3225"/>
    <n v="3225"/>
  </r>
  <r>
    <n v="1572"/>
    <s v="22-09-2024"/>
    <x v="8"/>
    <s v="C299"/>
    <x v="0"/>
    <x v="2"/>
    <x v="2"/>
    <n v="4"/>
    <n v="4210"/>
    <n v="16840"/>
  </r>
  <r>
    <n v="1166"/>
    <s v="14-03-2024"/>
    <x v="2"/>
    <s v="C229"/>
    <x v="0"/>
    <x v="1"/>
    <x v="6"/>
    <n v="5"/>
    <n v="4534"/>
    <n v="22670"/>
  </r>
  <r>
    <n v="1484"/>
    <s v="17-01-2024"/>
    <x v="0"/>
    <s v="C291"/>
    <x v="2"/>
    <x v="1"/>
    <x v="1"/>
    <n v="5"/>
    <n v="3547"/>
    <n v="17735"/>
  </r>
  <r>
    <n v="1296"/>
    <s v="21-01-2024"/>
    <x v="0"/>
    <s v="C233"/>
    <x v="3"/>
    <x v="1"/>
    <x v="9"/>
    <n v="3"/>
    <n v="2684"/>
    <n v="8052"/>
  </r>
  <r>
    <n v="1146"/>
    <s v="13-03-2024"/>
    <x v="2"/>
    <s v="C300"/>
    <x v="3"/>
    <x v="2"/>
    <x v="17"/>
    <n v="2"/>
    <n v="1699"/>
    <n v="3398"/>
  </r>
  <r>
    <n v="1125"/>
    <s v="07-10-2024"/>
    <x v="4"/>
    <s v="C189"/>
    <x v="1"/>
    <x v="3"/>
    <x v="4"/>
    <n v="5"/>
    <n v="2737"/>
    <n v="13685"/>
  </r>
  <r>
    <n v="1386"/>
    <s v="31-08-2024"/>
    <x v="10"/>
    <s v="C313"/>
    <x v="1"/>
    <x v="1"/>
    <x v="16"/>
    <n v="4"/>
    <n v="1420"/>
    <n v="5680"/>
  </r>
  <r>
    <n v="1419"/>
    <s v="17-07-2024"/>
    <x v="11"/>
    <s v="C159"/>
    <x v="1"/>
    <x v="2"/>
    <x v="2"/>
    <n v="3"/>
    <n v="925"/>
    <n v="2775"/>
  </r>
  <r>
    <n v="1585"/>
    <s v="18-11-2024"/>
    <x v="5"/>
    <s v="C303"/>
    <x v="2"/>
    <x v="0"/>
    <x v="19"/>
    <n v="2"/>
    <n v="4638"/>
    <n v="9276"/>
  </r>
  <r>
    <n v="1583"/>
    <s v="24-09-2024"/>
    <x v="8"/>
    <s v="C148"/>
    <x v="2"/>
    <x v="2"/>
    <x v="8"/>
    <n v="5"/>
    <n v="1672"/>
    <n v="8360"/>
  </r>
  <r>
    <n v="1210"/>
    <s v="05-05-2024"/>
    <x v="9"/>
    <s v="C312"/>
    <x v="0"/>
    <x v="2"/>
    <x v="17"/>
    <n v="5"/>
    <n v="568"/>
    <n v="2840"/>
  </r>
  <r>
    <n v="1348"/>
    <s v="11-08-2024"/>
    <x v="10"/>
    <s v="C146"/>
    <x v="0"/>
    <x v="2"/>
    <x v="17"/>
    <n v="3"/>
    <n v="945"/>
    <n v="2835"/>
  </r>
  <r>
    <n v="1172"/>
    <s v="26-05-2024"/>
    <x v="9"/>
    <s v="C136"/>
    <x v="0"/>
    <x v="1"/>
    <x v="14"/>
    <n v="3"/>
    <n v="3536"/>
    <n v="10608"/>
  </r>
  <r>
    <n v="1333"/>
    <s v="02-04-2024"/>
    <x v="6"/>
    <s v="C106"/>
    <x v="2"/>
    <x v="3"/>
    <x v="15"/>
    <n v="3"/>
    <n v="1367"/>
    <n v="4101"/>
  </r>
  <r>
    <n v="1384"/>
    <s v="02-03-2024"/>
    <x v="2"/>
    <s v="C113"/>
    <x v="1"/>
    <x v="1"/>
    <x v="16"/>
    <n v="5"/>
    <n v="4332"/>
    <n v="21660"/>
  </r>
  <r>
    <n v="1062"/>
    <s v="11-06-2024"/>
    <x v="3"/>
    <s v="C218"/>
    <x v="4"/>
    <x v="2"/>
    <x v="17"/>
    <n v="4"/>
    <n v="2114"/>
    <n v="8456"/>
  </r>
  <r>
    <n v="1567"/>
    <s v="27-10-2024"/>
    <x v="4"/>
    <s v="C272"/>
    <x v="3"/>
    <x v="3"/>
    <x v="12"/>
    <n v="5"/>
    <n v="3532"/>
    <n v="17660"/>
  </r>
  <r>
    <n v="1512"/>
    <s v="14-04-2024"/>
    <x v="6"/>
    <s v="C300"/>
    <x v="1"/>
    <x v="1"/>
    <x v="14"/>
    <n v="5"/>
    <n v="3671"/>
    <n v="18355"/>
  </r>
  <r>
    <n v="1042"/>
    <s v="01-01-2024"/>
    <x v="0"/>
    <s v="C308"/>
    <x v="0"/>
    <x v="2"/>
    <x v="8"/>
    <n v="1"/>
    <n v="692"/>
    <n v="692"/>
  </r>
  <r>
    <n v="1256"/>
    <s v="14-12-2024"/>
    <x v="7"/>
    <s v="C197"/>
    <x v="3"/>
    <x v="0"/>
    <x v="0"/>
    <n v="2"/>
    <n v="4575"/>
    <n v="9150"/>
  </r>
  <r>
    <n v="1404"/>
    <s v="23-12-2024"/>
    <x v="7"/>
    <s v="C131"/>
    <x v="0"/>
    <x v="1"/>
    <x v="1"/>
    <n v="2"/>
    <n v="4335"/>
    <n v="8670"/>
  </r>
  <r>
    <n v="1350"/>
    <s v="21-11-2024"/>
    <x v="5"/>
    <s v="C166"/>
    <x v="2"/>
    <x v="2"/>
    <x v="2"/>
    <n v="3"/>
    <n v="1925"/>
    <n v="5775"/>
  </r>
  <r>
    <n v="1016"/>
    <s v="20-12-2024"/>
    <x v="7"/>
    <s v="C134"/>
    <x v="3"/>
    <x v="3"/>
    <x v="7"/>
    <n v="1"/>
    <n v="1621"/>
    <n v="1621"/>
  </r>
  <r>
    <n v="1500"/>
    <s v="20-07-2024"/>
    <x v="11"/>
    <s v="C237"/>
    <x v="1"/>
    <x v="3"/>
    <x v="4"/>
    <n v="1"/>
    <n v="3091"/>
    <n v="3091"/>
  </r>
  <r>
    <n v="1366"/>
    <s v="17-07-2024"/>
    <x v="11"/>
    <s v="C145"/>
    <x v="2"/>
    <x v="3"/>
    <x v="20"/>
    <n v="2"/>
    <n v="3841"/>
    <n v="7682"/>
  </r>
  <r>
    <n v="1287"/>
    <s v="14-12-2024"/>
    <x v="7"/>
    <s v="C335"/>
    <x v="3"/>
    <x v="0"/>
    <x v="0"/>
    <n v="2"/>
    <n v="2119"/>
    <n v="4238"/>
  </r>
  <r>
    <n v="1037"/>
    <s v="23-05-2024"/>
    <x v="9"/>
    <s v="C226"/>
    <x v="0"/>
    <x v="1"/>
    <x v="9"/>
    <n v="1"/>
    <n v="2472"/>
    <n v="2472"/>
  </r>
  <r>
    <n v="1565"/>
    <s v="09-04-2024"/>
    <x v="6"/>
    <s v="C268"/>
    <x v="2"/>
    <x v="1"/>
    <x v="9"/>
    <n v="2"/>
    <n v="2326"/>
    <n v="4652"/>
  </r>
  <r>
    <n v="1535"/>
    <s v="20-05-2024"/>
    <x v="9"/>
    <s v="C149"/>
    <x v="1"/>
    <x v="3"/>
    <x v="7"/>
    <n v="1"/>
    <n v="3698"/>
    <n v="3698"/>
  </r>
  <r>
    <n v="1053"/>
    <s v="14-06-2024"/>
    <x v="3"/>
    <s v="C210"/>
    <x v="1"/>
    <x v="2"/>
    <x v="2"/>
    <n v="4"/>
    <n v="3161"/>
    <n v="12644"/>
  </r>
  <r>
    <n v="1229"/>
    <s v="25-01-2024"/>
    <x v="0"/>
    <s v="C171"/>
    <x v="2"/>
    <x v="2"/>
    <x v="8"/>
    <n v="1"/>
    <n v="3410"/>
    <n v="3410"/>
  </r>
  <r>
    <n v="1585"/>
    <s v="13-01-2024"/>
    <x v="0"/>
    <s v="C288"/>
    <x v="1"/>
    <x v="1"/>
    <x v="6"/>
    <n v="2"/>
    <n v="1547"/>
    <n v="3094"/>
  </r>
  <r>
    <n v="1099"/>
    <s v="15-01-2024"/>
    <x v="0"/>
    <s v="C222"/>
    <x v="3"/>
    <x v="2"/>
    <x v="17"/>
    <n v="2"/>
    <n v="1083"/>
    <n v="2166"/>
  </r>
  <r>
    <n v="1055"/>
    <s v="19-06-2024"/>
    <x v="3"/>
    <s v="C233"/>
    <x v="2"/>
    <x v="1"/>
    <x v="9"/>
    <n v="4"/>
    <n v="4942"/>
    <n v="19768"/>
  </r>
  <r>
    <n v="1034"/>
    <s v="12-07-2024"/>
    <x v="11"/>
    <s v="C180"/>
    <x v="1"/>
    <x v="3"/>
    <x v="12"/>
    <n v="1"/>
    <n v="2669"/>
    <n v="2669"/>
  </r>
  <r>
    <n v="1104"/>
    <s v="12-12-2024"/>
    <x v="7"/>
    <s v="C114"/>
    <x v="0"/>
    <x v="3"/>
    <x v="15"/>
    <n v="1"/>
    <n v="3567"/>
    <n v="3567"/>
  </r>
  <r>
    <n v="1010"/>
    <s v="20-08-2024"/>
    <x v="10"/>
    <s v="C198"/>
    <x v="2"/>
    <x v="2"/>
    <x v="5"/>
    <n v="1"/>
    <n v="3919"/>
    <n v="3919"/>
  </r>
  <r>
    <n v="1110"/>
    <s v="22-02-2024"/>
    <x v="1"/>
    <s v="C103"/>
    <x v="0"/>
    <x v="3"/>
    <x v="7"/>
    <n v="5"/>
    <n v="2299"/>
    <n v="11495"/>
  </r>
  <r>
    <n v="1455"/>
    <s v="05-04-2024"/>
    <x v="6"/>
    <s v="C162"/>
    <x v="0"/>
    <x v="1"/>
    <x v="9"/>
    <n v="3"/>
    <n v="4988"/>
    <n v="14964"/>
  </r>
  <r>
    <n v="1366"/>
    <s v="08-06-2024"/>
    <x v="3"/>
    <s v="C249"/>
    <x v="3"/>
    <x v="1"/>
    <x v="16"/>
    <n v="5"/>
    <n v="3009"/>
    <n v="15045"/>
  </r>
  <r>
    <n v="1530"/>
    <s v="27-10-2024"/>
    <x v="4"/>
    <s v="C268"/>
    <x v="3"/>
    <x v="1"/>
    <x v="9"/>
    <n v="4"/>
    <n v="3016"/>
    <n v="12064"/>
  </r>
  <r>
    <n v="1206"/>
    <s v="05-02-2024"/>
    <x v="1"/>
    <s v="C187"/>
    <x v="2"/>
    <x v="1"/>
    <x v="6"/>
    <n v="5"/>
    <n v="4837"/>
    <n v="24185"/>
  </r>
  <r>
    <n v="1428"/>
    <s v="17-06-2024"/>
    <x v="3"/>
    <s v="C141"/>
    <x v="1"/>
    <x v="3"/>
    <x v="11"/>
    <n v="2"/>
    <n v="230"/>
    <n v="460"/>
  </r>
  <r>
    <n v="1477"/>
    <s v="15-11-2024"/>
    <x v="5"/>
    <s v="C154"/>
    <x v="0"/>
    <x v="1"/>
    <x v="6"/>
    <n v="2"/>
    <n v="3479"/>
    <n v="6958"/>
  </r>
  <r>
    <n v="1371"/>
    <s v="06-01-2024"/>
    <x v="0"/>
    <s v="C118"/>
    <x v="0"/>
    <x v="0"/>
    <x v="3"/>
    <n v="3"/>
    <n v="3807"/>
    <n v="11421"/>
  </r>
  <r>
    <n v="1368"/>
    <s v="23-01-2024"/>
    <x v="0"/>
    <s v="C349"/>
    <x v="3"/>
    <x v="3"/>
    <x v="12"/>
    <n v="2"/>
    <n v="1993"/>
    <n v="3986"/>
  </r>
  <r>
    <n v="1347"/>
    <s v="10-10-2024"/>
    <x v="4"/>
    <s v="C162"/>
    <x v="0"/>
    <x v="1"/>
    <x v="16"/>
    <n v="3"/>
    <n v="1028"/>
    <n v="3084"/>
  </r>
  <r>
    <n v="1388"/>
    <s v="01-12-2024"/>
    <x v="7"/>
    <s v="C301"/>
    <x v="3"/>
    <x v="3"/>
    <x v="15"/>
    <n v="4"/>
    <n v="2167"/>
    <n v="8668"/>
  </r>
  <r>
    <n v="1175"/>
    <s v="26-09-2024"/>
    <x v="8"/>
    <s v="C350"/>
    <x v="0"/>
    <x v="2"/>
    <x v="17"/>
    <n v="2"/>
    <n v="1753"/>
    <n v="3506"/>
  </r>
  <r>
    <n v="1383"/>
    <s v="11-06-2024"/>
    <x v="3"/>
    <s v="C253"/>
    <x v="1"/>
    <x v="2"/>
    <x v="18"/>
    <n v="5"/>
    <n v="2609"/>
    <n v="13045"/>
  </r>
  <r>
    <n v="1054"/>
    <s v="18-11-2024"/>
    <x v="5"/>
    <s v="C303"/>
    <x v="1"/>
    <x v="0"/>
    <x v="0"/>
    <n v="1"/>
    <n v="4055"/>
    <n v="4055"/>
  </r>
  <r>
    <n v="1171"/>
    <s v="17-09-2024"/>
    <x v="8"/>
    <s v="C199"/>
    <x v="0"/>
    <x v="0"/>
    <x v="10"/>
    <n v="3"/>
    <n v="3262"/>
    <n v="9786"/>
  </r>
  <r>
    <n v="1506"/>
    <s v="30-08-2024"/>
    <x v="10"/>
    <s v="C168"/>
    <x v="1"/>
    <x v="2"/>
    <x v="8"/>
    <n v="2"/>
    <n v="1862"/>
    <n v="3724"/>
  </r>
  <r>
    <n v="1223"/>
    <s v="05-06-2024"/>
    <x v="3"/>
    <s v="C208"/>
    <x v="2"/>
    <x v="2"/>
    <x v="8"/>
    <n v="3"/>
    <n v="4710"/>
    <n v="14130"/>
  </r>
  <r>
    <n v="1302"/>
    <s v="15-08-2024"/>
    <x v="10"/>
    <s v="C232"/>
    <x v="1"/>
    <x v="0"/>
    <x v="0"/>
    <n v="5"/>
    <n v="2955"/>
    <n v="14775"/>
  </r>
  <r>
    <n v="1418"/>
    <s v="07-07-2024"/>
    <x v="11"/>
    <s v="C305"/>
    <x v="0"/>
    <x v="2"/>
    <x v="2"/>
    <n v="1"/>
    <n v="1671"/>
    <n v="1671"/>
  </r>
  <r>
    <n v="1077"/>
    <s v="02-07-2024"/>
    <x v="11"/>
    <s v="C330"/>
    <x v="3"/>
    <x v="3"/>
    <x v="15"/>
    <n v="2"/>
    <n v="1006"/>
    <n v="2012"/>
  </r>
  <r>
    <n v="1559"/>
    <s v="12-04-2024"/>
    <x v="6"/>
    <s v="C185"/>
    <x v="3"/>
    <x v="1"/>
    <x v="14"/>
    <n v="3"/>
    <n v="1761"/>
    <n v="5283"/>
  </r>
  <r>
    <n v="1556"/>
    <s v="13-05-2024"/>
    <x v="9"/>
    <s v="C102"/>
    <x v="4"/>
    <x v="0"/>
    <x v="13"/>
    <n v="4"/>
    <n v="4950"/>
    <n v="19800"/>
  </r>
  <r>
    <n v="1524"/>
    <s v="17-03-2024"/>
    <x v="2"/>
    <s v="C321"/>
    <x v="1"/>
    <x v="2"/>
    <x v="18"/>
    <n v="4"/>
    <n v="2114"/>
    <n v="8456"/>
  </r>
  <r>
    <n v="1479"/>
    <s v="24-08-2024"/>
    <x v="10"/>
    <s v="C187"/>
    <x v="0"/>
    <x v="3"/>
    <x v="15"/>
    <n v="4"/>
    <n v="1916"/>
    <n v="7664"/>
  </r>
  <r>
    <n v="1030"/>
    <s v="10-07-2024"/>
    <x v="11"/>
    <s v="C135"/>
    <x v="1"/>
    <x v="1"/>
    <x v="14"/>
    <n v="3"/>
    <n v="2983"/>
    <n v="8949"/>
  </r>
  <r>
    <n v="1413"/>
    <s v="19-12-2024"/>
    <x v="7"/>
    <s v="C237"/>
    <x v="3"/>
    <x v="0"/>
    <x v="13"/>
    <n v="2"/>
    <n v="1459"/>
    <n v="2918"/>
  </r>
  <r>
    <n v="1581"/>
    <s v="18-11-2024"/>
    <x v="5"/>
    <s v="C304"/>
    <x v="0"/>
    <x v="2"/>
    <x v="5"/>
    <n v="1"/>
    <n v="4578"/>
    <n v="4578"/>
  </r>
  <r>
    <n v="1336"/>
    <s v="18-10-2024"/>
    <x v="4"/>
    <s v="C346"/>
    <x v="0"/>
    <x v="2"/>
    <x v="2"/>
    <n v="1"/>
    <n v="4729"/>
    <n v="4729"/>
  </r>
  <r>
    <n v="1500"/>
    <s v="14-01-2024"/>
    <x v="0"/>
    <s v="C147"/>
    <x v="3"/>
    <x v="1"/>
    <x v="9"/>
    <n v="2"/>
    <n v="2109"/>
    <n v="4218"/>
  </r>
  <r>
    <n v="1465"/>
    <s v="30-01-2024"/>
    <x v="0"/>
    <s v="C194"/>
    <x v="0"/>
    <x v="3"/>
    <x v="12"/>
    <n v="4"/>
    <n v="1486"/>
    <n v="5944"/>
  </r>
  <r>
    <n v="1428"/>
    <s v="01-09-2024"/>
    <x v="8"/>
    <s v="C290"/>
    <x v="0"/>
    <x v="3"/>
    <x v="11"/>
    <n v="2"/>
    <n v="2737"/>
    <n v="5474"/>
  </r>
  <r>
    <n v="1486"/>
    <s v="22-03-2024"/>
    <x v="2"/>
    <s v="C254"/>
    <x v="1"/>
    <x v="0"/>
    <x v="20"/>
    <n v="3"/>
    <n v="1852"/>
    <n v="5556"/>
  </r>
  <r>
    <n v="1065"/>
    <s v="23-07-2024"/>
    <x v="11"/>
    <s v="C254"/>
    <x v="1"/>
    <x v="1"/>
    <x v="1"/>
    <n v="4"/>
    <n v="3990"/>
    <n v="15960"/>
  </r>
  <r>
    <n v="1294"/>
    <s v="26-11-2024"/>
    <x v="5"/>
    <s v="C325"/>
    <x v="0"/>
    <x v="2"/>
    <x v="2"/>
    <n v="5"/>
    <n v="1634"/>
    <n v="8170"/>
  </r>
  <r>
    <n v="1442"/>
    <s v="22-08-2024"/>
    <x v="10"/>
    <s v="C198"/>
    <x v="0"/>
    <x v="1"/>
    <x v="1"/>
    <n v="1"/>
    <n v="2163"/>
    <n v="2163"/>
  </r>
  <r>
    <n v="1550"/>
    <s v="29-05-2024"/>
    <x v="9"/>
    <s v="C270"/>
    <x v="0"/>
    <x v="3"/>
    <x v="12"/>
    <n v="5"/>
    <n v="1193"/>
    <n v="5965"/>
  </r>
  <r>
    <n v="1107"/>
    <s v="15-09-2024"/>
    <x v="8"/>
    <s v="C296"/>
    <x v="0"/>
    <x v="0"/>
    <x v="10"/>
    <n v="3"/>
    <n v="1898"/>
    <n v="5694"/>
  </r>
  <r>
    <n v="1074"/>
    <s v="23-11-2024"/>
    <x v="5"/>
    <s v="C277"/>
    <x v="0"/>
    <x v="2"/>
    <x v="5"/>
    <n v="2"/>
    <n v="3449"/>
    <n v="6898"/>
  </r>
  <r>
    <n v="1139"/>
    <s v="16-06-2024"/>
    <x v="3"/>
    <s v="C271"/>
    <x v="2"/>
    <x v="2"/>
    <x v="5"/>
    <n v="1"/>
    <n v="4692"/>
    <n v="4692"/>
  </r>
  <r>
    <n v="1448"/>
    <s v="12-03-2024"/>
    <x v="2"/>
    <s v="C220"/>
    <x v="3"/>
    <x v="0"/>
    <x v="0"/>
    <n v="5"/>
    <n v="1023"/>
    <n v="5115"/>
  </r>
  <r>
    <n v="1400"/>
    <s v="27-03-2024"/>
    <x v="2"/>
    <s v="C119"/>
    <x v="1"/>
    <x v="3"/>
    <x v="15"/>
    <n v="3"/>
    <n v="1657"/>
    <n v="4971"/>
  </r>
  <r>
    <n v="1545"/>
    <s v="20-04-2024"/>
    <x v="6"/>
    <s v="C213"/>
    <x v="4"/>
    <x v="3"/>
    <x v="7"/>
    <n v="3"/>
    <n v="3837"/>
    <n v="11511"/>
  </r>
  <r>
    <n v="1386"/>
    <s v="13-04-2024"/>
    <x v="6"/>
    <s v="C337"/>
    <x v="1"/>
    <x v="1"/>
    <x v="14"/>
    <n v="1"/>
    <n v="331"/>
    <n v="331"/>
  </r>
  <r>
    <n v="1345"/>
    <s v="08-04-2024"/>
    <x v="6"/>
    <s v="C274"/>
    <x v="0"/>
    <x v="3"/>
    <x v="12"/>
    <n v="2"/>
    <n v="560"/>
    <n v="1120"/>
  </r>
  <r>
    <n v="1334"/>
    <s v="14-06-2024"/>
    <x v="3"/>
    <s v="C243"/>
    <x v="0"/>
    <x v="1"/>
    <x v="1"/>
    <n v="4"/>
    <n v="1189"/>
    <n v="4756"/>
  </r>
  <r>
    <n v="1331"/>
    <s v="29-03-2024"/>
    <x v="2"/>
    <s v="C103"/>
    <x v="0"/>
    <x v="2"/>
    <x v="2"/>
    <n v="2"/>
    <n v="3958"/>
    <n v="7916"/>
  </r>
  <r>
    <n v="1285"/>
    <s v="28-11-2024"/>
    <x v="5"/>
    <s v="C259"/>
    <x v="1"/>
    <x v="0"/>
    <x v="3"/>
    <n v="4"/>
    <n v="2670"/>
    <n v="10680"/>
  </r>
  <r>
    <n v="1104"/>
    <s v="30-12-2024"/>
    <x v="7"/>
    <s v="C237"/>
    <x v="2"/>
    <x v="1"/>
    <x v="14"/>
    <n v="4"/>
    <n v="1288"/>
    <n v="5152"/>
  </r>
  <r>
    <n v="1325"/>
    <s v="07-12-2024"/>
    <x v="7"/>
    <s v="C223"/>
    <x v="1"/>
    <x v="3"/>
    <x v="15"/>
    <n v="4"/>
    <n v="4386"/>
    <n v="17544"/>
  </r>
  <r>
    <n v="1013"/>
    <s v="29-04-2024"/>
    <x v="6"/>
    <s v="C105"/>
    <x v="0"/>
    <x v="3"/>
    <x v="15"/>
    <n v="2"/>
    <n v="850"/>
    <n v="1700"/>
  </r>
  <r>
    <n v="1303"/>
    <s v="13-04-2024"/>
    <x v="6"/>
    <s v="C138"/>
    <x v="1"/>
    <x v="2"/>
    <x v="18"/>
    <n v="5"/>
    <n v="3835"/>
    <n v="19175"/>
  </r>
  <r>
    <n v="1284"/>
    <s v="11-06-2024"/>
    <x v="3"/>
    <s v="C264"/>
    <x v="3"/>
    <x v="3"/>
    <x v="7"/>
    <n v="1"/>
    <n v="2076"/>
    <n v="2076"/>
  </r>
  <r>
    <n v="1248"/>
    <s v="15-04-2024"/>
    <x v="6"/>
    <s v="C238"/>
    <x v="0"/>
    <x v="3"/>
    <x v="12"/>
    <n v="5"/>
    <n v="2834"/>
    <n v="14170"/>
  </r>
  <r>
    <n v="1066"/>
    <s v="08-09-2024"/>
    <x v="8"/>
    <s v="C117"/>
    <x v="1"/>
    <x v="1"/>
    <x v="9"/>
    <n v="2"/>
    <n v="951"/>
    <n v="1902"/>
  </r>
  <r>
    <n v="1209"/>
    <s v="30-04-2024"/>
    <x v="6"/>
    <s v="C229"/>
    <x v="3"/>
    <x v="3"/>
    <x v="11"/>
    <n v="2"/>
    <n v="1818"/>
    <n v="3636"/>
  </r>
  <r>
    <n v="1254"/>
    <s v="04-06-2024"/>
    <x v="3"/>
    <s v="C173"/>
    <x v="1"/>
    <x v="2"/>
    <x v="18"/>
    <n v="1"/>
    <n v="3145"/>
    <n v="3145"/>
  </r>
  <r>
    <n v="1451"/>
    <s v="04-08-2024"/>
    <x v="10"/>
    <s v="C229"/>
    <x v="3"/>
    <x v="2"/>
    <x v="18"/>
    <n v="4"/>
    <n v="3701"/>
    <n v="14804"/>
  </r>
  <r>
    <n v="1307"/>
    <s v="31-10-2024"/>
    <x v="4"/>
    <s v="C237"/>
    <x v="3"/>
    <x v="1"/>
    <x v="1"/>
    <n v="4"/>
    <n v="3998"/>
    <n v="15992"/>
  </r>
  <r>
    <n v="1575"/>
    <s v="06-11-2024"/>
    <x v="5"/>
    <s v="C223"/>
    <x v="4"/>
    <x v="3"/>
    <x v="15"/>
    <n v="2"/>
    <n v="1467"/>
    <n v="2934"/>
  </r>
  <r>
    <n v="1512"/>
    <s v="10-07-2024"/>
    <x v="11"/>
    <s v="C225"/>
    <x v="2"/>
    <x v="2"/>
    <x v="5"/>
    <n v="4"/>
    <n v="4210"/>
    <n v="16840"/>
  </r>
  <r>
    <n v="1072"/>
    <s v="28-07-2024"/>
    <x v="11"/>
    <s v="C326"/>
    <x v="0"/>
    <x v="3"/>
    <x v="4"/>
    <n v="2"/>
    <n v="3774"/>
    <n v="7548"/>
  </r>
  <r>
    <n v="1356"/>
    <s v="17-09-2024"/>
    <x v="8"/>
    <s v="C281"/>
    <x v="0"/>
    <x v="2"/>
    <x v="2"/>
    <n v="4"/>
    <n v="2221"/>
    <n v="8884"/>
  </r>
  <r>
    <n v="1370"/>
    <s v="19-11-2024"/>
    <x v="5"/>
    <s v="C280"/>
    <x v="1"/>
    <x v="3"/>
    <x v="12"/>
    <n v="2"/>
    <n v="2283"/>
    <n v="4566"/>
  </r>
  <r>
    <n v="1165"/>
    <s v="07-01-2024"/>
    <x v="0"/>
    <s v="C129"/>
    <x v="2"/>
    <x v="3"/>
    <x v="11"/>
    <n v="5"/>
    <n v="1746"/>
    <n v="8730"/>
  </r>
  <r>
    <n v="1437"/>
    <s v="09-05-2024"/>
    <x v="9"/>
    <s v="C277"/>
    <x v="3"/>
    <x v="0"/>
    <x v="19"/>
    <n v="4"/>
    <n v="928"/>
    <n v="3712"/>
  </r>
  <r>
    <n v="1352"/>
    <s v="14-03-2024"/>
    <x v="2"/>
    <s v="C168"/>
    <x v="3"/>
    <x v="1"/>
    <x v="20"/>
    <n v="2"/>
    <n v="4228"/>
    <n v="8456"/>
  </r>
  <r>
    <n v="1427"/>
    <s v="25-09-2024"/>
    <x v="8"/>
    <s v="C206"/>
    <x v="0"/>
    <x v="0"/>
    <x v="10"/>
    <n v="3"/>
    <n v="1726"/>
    <n v="5178"/>
  </r>
  <r>
    <n v="1186"/>
    <s v="14-09-2024"/>
    <x v="8"/>
    <s v="C342"/>
    <x v="0"/>
    <x v="3"/>
    <x v="11"/>
    <n v="2"/>
    <n v="683"/>
    <n v="1366"/>
  </r>
  <r>
    <n v="1196"/>
    <s v="12-05-2024"/>
    <x v="9"/>
    <s v="C330"/>
    <x v="0"/>
    <x v="2"/>
    <x v="5"/>
    <n v="1"/>
    <n v="2601"/>
    <n v="2601"/>
  </r>
  <r>
    <n v="1065"/>
    <s v="24-06-2024"/>
    <x v="3"/>
    <s v="C107"/>
    <x v="2"/>
    <x v="1"/>
    <x v="6"/>
    <n v="1"/>
    <n v="700"/>
    <n v="700"/>
  </r>
  <r>
    <n v="1596"/>
    <s v="22-01-2024"/>
    <x v="0"/>
    <s v="C124"/>
    <x v="0"/>
    <x v="1"/>
    <x v="1"/>
    <n v="5"/>
    <n v="4460"/>
    <n v="22300"/>
  </r>
  <r>
    <n v="1497"/>
    <s v="30-08-2024"/>
    <x v="10"/>
    <s v="C293"/>
    <x v="2"/>
    <x v="0"/>
    <x v="19"/>
    <n v="3"/>
    <n v="3010"/>
    <n v="9030"/>
  </r>
  <r>
    <n v="1369"/>
    <s v="06-12-2024"/>
    <x v="7"/>
    <s v="C202"/>
    <x v="2"/>
    <x v="2"/>
    <x v="20"/>
    <n v="3"/>
    <n v="1020"/>
    <n v="3060"/>
  </r>
  <r>
    <n v="1411"/>
    <s v="12-03-2024"/>
    <x v="2"/>
    <s v="C106"/>
    <x v="1"/>
    <x v="3"/>
    <x v="7"/>
    <n v="3"/>
    <n v="3902"/>
    <n v="11706"/>
  </r>
  <r>
    <n v="1486"/>
    <s v="20-09-2024"/>
    <x v="8"/>
    <s v="C205"/>
    <x v="3"/>
    <x v="1"/>
    <x v="9"/>
    <n v="3"/>
    <n v="574"/>
    <n v="1722"/>
  </r>
  <r>
    <n v="1454"/>
    <s v="29-04-2024"/>
    <x v="6"/>
    <s v="C255"/>
    <x v="2"/>
    <x v="2"/>
    <x v="5"/>
    <n v="4"/>
    <n v="4100"/>
    <n v="16400"/>
  </r>
  <r>
    <n v="1102"/>
    <s v="16-07-2024"/>
    <x v="11"/>
    <s v="C175"/>
    <x v="0"/>
    <x v="1"/>
    <x v="16"/>
    <n v="4"/>
    <n v="913"/>
    <n v="3652"/>
  </r>
  <r>
    <n v="1561"/>
    <s v="27-08-2024"/>
    <x v="10"/>
    <s v="C143"/>
    <x v="1"/>
    <x v="2"/>
    <x v="17"/>
    <n v="2"/>
    <n v="1933"/>
    <n v="3866"/>
  </r>
  <r>
    <n v="1091"/>
    <s v="24-02-2024"/>
    <x v="1"/>
    <s v="C211"/>
    <x v="0"/>
    <x v="3"/>
    <x v="12"/>
    <n v="3"/>
    <n v="2005"/>
    <n v="6015"/>
  </r>
  <r>
    <n v="1126"/>
    <s v="06-12-2024"/>
    <x v="7"/>
    <s v="C134"/>
    <x v="1"/>
    <x v="2"/>
    <x v="17"/>
    <n v="5"/>
    <n v="729"/>
    <n v="3645"/>
  </r>
  <r>
    <n v="1390"/>
    <s v="30-11-2024"/>
    <x v="5"/>
    <s v="C264"/>
    <x v="3"/>
    <x v="2"/>
    <x v="18"/>
    <n v="1"/>
    <n v="2583"/>
    <n v="2583"/>
  </r>
  <r>
    <n v="1192"/>
    <s v="29-02-2024"/>
    <x v="1"/>
    <s v="C246"/>
    <x v="0"/>
    <x v="0"/>
    <x v="0"/>
    <n v="5"/>
    <n v="213"/>
    <n v="1065"/>
  </r>
  <r>
    <n v="1194"/>
    <s v="17-07-2024"/>
    <x v="11"/>
    <s v="C350"/>
    <x v="4"/>
    <x v="2"/>
    <x v="2"/>
    <n v="5"/>
    <n v="2019"/>
    <n v="10095"/>
  </r>
  <r>
    <n v="1471"/>
    <s v="10-06-2024"/>
    <x v="3"/>
    <s v="C137"/>
    <x v="1"/>
    <x v="0"/>
    <x v="0"/>
    <n v="2"/>
    <n v="2521"/>
    <n v="5042"/>
  </r>
  <r>
    <n v="1035"/>
    <s v="02-11-2024"/>
    <x v="5"/>
    <s v="C181"/>
    <x v="3"/>
    <x v="0"/>
    <x v="19"/>
    <n v="5"/>
    <n v="4118"/>
    <n v="20590"/>
  </r>
  <r>
    <n v="1298"/>
    <s v="26-12-2024"/>
    <x v="7"/>
    <s v="C347"/>
    <x v="0"/>
    <x v="2"/>
    <x v="17"/>
    <n v="2"/>
    <n v="2043"/>
    <n v="4086"/>
  </r>
  <r>
    <n v="1183"/>
    <s v="06-09-2024"/>
    <x v="8"/>
    <s v="C286"/>
    <x v="3"/>
    <x v="2"/>
    <x v="2"/>
    <n v="5"/>
    <n v="3413"/>
    <n v="17065"/>
  </r>
  <r>
    <n v="1356"/>
    <s v="19-07-2024"/>
    <x v="11"/>
    <s v="C200"/>
    <x v="3"/>
    <x v="3"/>
    <x v="7"/>
    <n v="2"/>
    <n v="4689"/>
    <n v="9378"/>
  </r>
  <r>
    <n v="1594"/>
    <s v="28-01-2024"/>
    <x v="0"/>
    <s v="C317"/>
    <x v="0"/>
    <x v="0"/>
    <x v="10"/>
    <n v="4"/>
    <n v="4152"/>
    <n v="16608"/>
  </r>
  <r>
    <n v="1223"/>
    <s v="10-04-2024"/>
    <x v="6"/>
    <s v="C288"/>
    <x v="0"/>
    <x v="3"/>
    <x v="15"/>
    <n v="4"/>
    <n v="3698"/>
    <n v="14792"/>
  </r>
  <r>
    <n v="1057"/>
    <s v="19-02-2024"/>
    <x v="1"/>
    <s v="C191"/>
    <x v="2"/>
    <x v="2"/>
    <x v="18"/>
    <n v="5"/>
    <n v="2972"/>
    <n v="14860"/>
  </r>
  <r>
    <n v="1413"/>
    <s v="05-05-2024"/>
    <x v="9"/>
    <s v="C108"/>
    <x v="1"/>
    <x v="3"/>
    <x v="12"/>
    <n v="3"/>
    <n v="1613"/>
    <n v="4839"/>
  </r>
  <r>
    <n v="1091"/>
    <s v="25-08-2024"/>
    <x v="10"/>
    <s v="C321"/>
    <x v="2"/>
    <x v="2"/>
    <x v="2"/>
    <n v="1"/>
    <n v="1183"/>
    <n v="1183"/>
  </r>
  <r>
    <n v="1521"/>
    <s v="25-04-2024"/>
    <x v="6"/>
    <s v="C105"/>
    <x v="0"/>
    <x v="2"/>
    <x v="2"/>
    <n v="4"/>
    <n v="4166"/>
    <n v="16664"/>
  </r>
  <r>
    <n v="1305"/>
    <s v="19-10-2024"/>
    <x v="4"/>
    <s v="C132"/>
    <x v="0"/>
    <x v="3"/>
    <x v="15"/>
    <n v="4"/>
    <n v="361"/>
    <n v="1444"/>
  </r>
  <r>
    <n v="1542"/>
    <s v="07-09-2024"/>
    <x v="8"/>
    <s v="C116"/>
    <x v="0"/>
    <x v="3"/>
    <x v="20"/>
    <n v="5"/>
    <n v="1674"/>
    <n v="8370"/>
  </r>
  <r>
    <n v="1321"/>
    <s v="03-03-2024"/>
    <x v="2"/>
    <s v="C110"/>
    <x v="0"/>
    <x v="1"/>
    <x v="1"/>
    <n v="1"/>
    <n v="4807"/>
    <n v="4807"/>
  </r>
  <r>
    <n v="1086"/>
    <s v="04-03-2024"/>
    <x v="2"/>
    <s v="C229"/>
    <x v="0"/>
    <x v="0"/>
    <x v="13"/>
    <n v="1"/>
    <n v="2234"/>
    <n v="2234"/>
  </r>
  <r>
    <n v="1531"/>
    <s v="30-05-2024"/>
    <x v="9"/>
    <s v="C268"/>
    <x v="2"/>
    <x v="2"/>
    <x v="18"/>
    <n v="5"/>
    <n v="3084"/>
    <n v="15420"/>
  </r>
  <r>
    <n v="1101"/>
    <s v="05-12-2024"/>
    <x v="7"/>
    <s v="C309"/>
    <x v="1"/>
    <x v="3"/>
    <x v="12"/>
    <n v="2"/>
    <n v="2655"/>
    <n v="5310"/>
  </r>
  <r>
    <n v="1137"/>
    <s v="04-11-2024"/>
    <x v="5"/>
    <s v="C241"/>
    <x v="3"/>
    <x v="1"/>
    <x v="1"/>
    <n v="2"/>
    <n v="3657"/>
    <n v="7314"/>
  </r>
  <r>
    <n v="1390"/>
    <s v="28-11-2024"/>
    <x v="5"/>
    <s v="C331"/>
    <x v="2"/>
    <x v="1"/>
    <x v="6"/>
    <n v="3"/>
    <n v="3684"/>
    <n v="11052"/>
  </r>
  <r>
    <n v="1208"/>
    <s v="06-02-2024"/>
    <x v="1"/>
    <s v="C261"/>
    <x v="0"/>
    <x v="0"/>
    <x v="0"/>
    <n v="4"/>
    <n v="1457"/>
    <n v="5828"/>
  </r>
  <r>
    <n v="1388"/>
    <s v="14-01-2024"/>
    <x v="0"/>
    <s v="C346"/>
    <x v="2"/>
    <x v="1"/>
    <x v="9"/>
    <n v="5"/>
    <n v="1101"/>
    <n v="5505"/>
  </r>
  <r>
    <n v="1337"/>
    <s v="23-11-2024"/>
    <x v="5"/>
    <s v="C122"/>
    <x v="0"/>
    <x v="0"/>
    <x v="20"/>
    <n v="2"/>
    <n v="2441"/>
    <n v="4882"/>
  </r>
  <r>
    <n v="1227"/>
    <s v="12-07-2024"/>
    <x v="11"/>
    <s v="C343"/>
    <x v="3"/>
    <x v="3"/>
    <x v="4"/>
    <n v="5"/>
    <n v="4210"/>
    <n v="21050"/>
  </r>
  <r>
    <n v="1585"/>
    <s v="24-05-2024"/>
    <x v="9"/>
    <s v="C241"/>
    <x v="3"/>
    <x v="0"/>
    <x v="19"/>
    <n v="2"/>
    <n v="2805"/>
    <n v="5610"/>
  </r>
  <r>
    <n v="1353"/>
    <s v="13-12-2024"/>
    <x v="7"/>
    <s v="C347"/>
    <x v="3"/>
    <x v="2"/>
    <x v="5"/>
    <n v="1"/>
    <n v="4407"/>
    <n v="4407"/>
  </r>
  <r>
    <n v="1146"/>
    <s v="12-07-2024"/>
    <x v="11"/>
    <s v="C245"/>
    <x v="1"/>
    <x v="0"/>
    <x v="3"/>
    <n v="5"/>
    <n v="3626"/>
    <n v="18130"/>
  </r>
  <r>
    <n v="1362"/>
    <s v="27-08-2024"/>
    <x v="10"/>
    <s v="C228"/>
    <x v="1"/>
    <x v="0"/>
    <x v="13"/>
    <n v="3"/>
    <n v="912"/>
    <n v="2736"/>
  </r>
  <r>
    <n v="1320"/>
    <s v="16-02-2024"/>
    <x v="1"/>
    <s v="C262"/>
    <x v="2"/>
    <x v="3"/>
    <x v="4"/>
    <n v="2"/>
    <n v="4912"/>
    <n v="9824"/>
  </r>
  <r>
    <n v="1567"/>
    <s v="09-09-2024"/>
    <x v="8"/>
    <s v="C306"/>
    <x v="1"/>
    <x v="3"/>
    <x v="11"/>
    <n v="4"/>
    <n v="4418"/>
    <n v="17672"/>
  </r>
  <r>
    <n v="1545"/>
    <s v="23-12-2024"/>
    <x v="7"/>
    <s v="C131"/>
    <x v="3"/>
    <x v="2"/>
    <x v="17"/>
    <n v="4"/>
    <n v="4577"/>
    <n v="18308"/>
  </r>
  <r>
    <n v="1540"/>
    <s v="16-12-2024"/>
    <x v="7"/>
    <s v="C255"/>
    <x v="0"/>
    <x v="3"/>
    <x v="7"/>
    <n v="5"/>
    <n v="2043"/>
    <n v="10215"/>
  </r>
  <r>
    <n v="1136"/>
    <s v="20-09-2024"/>
    <x v="8"/>
    <s v="C190"/>
    <x v="0"/>
    <x v="3"/>
    <x v="11"/>
    <n v="2"/>
    <n v="3257"/>
    <n v="6514"/>
  </r>
  <r>
    <n v="1255"/>
    <s v="03-10-2024"/>
    <x v="4"/>
    <s v="C317"/>
    <x v="1"/>
    <x v="3"/>
    <x v="15"/>
    <n v="3"/>
    <n v="2368"/>
    <n v="7104"/>
  </r>
  <r>
    <n v="1582"/>
    <s v="20-07-2024"/>
    <x v="11"/>
    <s v="C155"/>
    <x v="4"/>
    <x v="0"/>
    <x v="19"/>
    <n v="5"/>
    <n v="4199"/>
    <n v="20995"/>
  </r>
  <r>
    <n v="1471"/>
    <s v="17-06-2024"/>
    <x v="3"/>
    <s v="C176"/>
    <x v="2"/>
    <x v="0"/>
    <x v="3"/>
    <n v="2"/>
    <n v="3493"/>
    <n v="6986"/>
  </r>
  <r>
    <n v="1503"/>
    <s v="11-04-2024"/>
    <x v="6"/>
    <s v="C121"/>
    <x v="1"/>
    <x v="1"/>
    <x v="6"/>
    <n v="1"/>
    <n v="1474"/>
    <n v="1474"/>
  </r>
  <r>
    <n v="1481"/>
    <s v="21-07-2024"/>
    <x v="11"/>
    <s v="C195"/>
    <x v="0"/>
    <x v="0"/>
    <x v="13"/>
    <n v="5"/>
    <n v="2407"/>
    <n v="12035"/>
  </r>
  <r>
    <n v="1449"/>
    <s v="23-03-2024"/>
    <x v="2"/>
    <s v="C135"/>
    <x v="2"/>
    <x v="0"/>
    <x v="10"/>
    <n v="2"/>
    <n v="1106"/>
    <n v="2212"/>
  </r>
  <r>
    <n v="1404"/>
    <s v="03-08-2024"/>
    <x v="10"/>
    <s v="C290"/>
    <x v="1"/>
    <x v="0"/>
    <x v="3"/>
    <n v="4"/>
    <n v="2377"/>
    <n v="9508"/>
  </r>
  <r>
    <n v="1507"/>
    <s v="15-12-2024"/>
    <x v="7"/>
    <s v="C282"/>
    <x v="0"/>
    <x v="1"/>
    <x v="14"/>
    <n v="2"/>
    <n v="1098"/>
    <n v="2196"/>
  </r>
  <r>
    <n v="1129"/>
    <s v="20-03-2024"/>
    <x v="2"/>
    <s v="C188"/>
    <x v="2"/>
    <x v="3"/>
    <x v="12"/>
    <n v="4"/>
    <n v="265"/>
    <n v="1060"/>
  </r>
  <r>
    <n v="1497"/>
    <s v="12-02-2024"/>
    <x v="1"/>
    <s v="C294"/>
    <x v="0"/>
    <x v="2"/>
    <x v="18"/>
    <n v="2"/>
    <n v="2503"/>
    <n v="5006"/>
  </r>
  <r>
    <n v="1253"/>
    <s v="07-12-2024"/>
    <x v="7"/>
    <s v="C310"/>
    <x v="2"/>
    <x v="2"/>
    <x v="18"/>
    <n v="5"/>
    <n v="1684"/>
    <n v="8420"/>
  </r>
  <r>
    <n v="1152"/>
    <s v="27-04-2024"/>
    <x v="6"/>
    <s v="C130"/>
    <x v="3"/>
    <x v="1"/>
    <x v="6"/>
    <n v="2"/>
    <n v="1397"/>
    <n v="2794"/>
  </r>
  <r>
    <n v="1093"/>
    <s v="27-01-2024"/>
    <x v="0"/>
    <s v="C197"/>
    <x v="1"/>
    <x v="2"/>
    <x v="8"/>
    <n v="2"/>
    <n v="2953"/>
    <n v="5906"/>
  </r>
  <r>
    <n v="1437"/>
    <s v="25-11-2024"/>
    <x v="5"/>
    <s v="C113"/>
    <x v="2"/>
    <x v="0"/>
    <x v="3"/>
    <n v="3"/>
    <n v="3075"/>
    <n v="9225"/>
  </r>
  <r>
    <n v="1048"/>
    <s v="03-04-2024"/>
    <x v="6"/>
    <s v="C110"/>
    <x v="1"/>
    <x v="3"/>
    <x v="4"/>
    <n v="3"/>
    <n v="4067"/>
    <n v="12201"/>
  </r>
  <r>
    <n v="1441"/>
    <s v="04-04-2024"/>
    <x v="6"/>
    <s v="C164"/>
    <x v="3"/>
    <x v="2"/>
    <x v="2"/>
    <n v="1"/>
    <n v="993"/>
    <n v="993"/>
  </r>
  <r>
    <n v="1133"/>
    <s v="18-06-2024"/>
    <x v="3"/>
    <s v="C192"/>
    <x v="1"/>
    <x v="0"/>
    <x v="19"/>
    <n v="3"/>
    <n v="1920"/>
    <n v="5760"/>
  </r>
  <r>
    <n v="1108"/>
    <s v="07-03-2024"/>
    <x v="2"/>
    <s v="C261"/>
    <x v="1"/>
    <x v="3"/>
    <x v="4"/>
    <n v="4"/>
    <n v="1008"/>
    <n v="4032"/>
  </r>
  <r>
    <n v="1351"/>
    <s v="03-06-2024"/>
    <x v="3"/>
    <s v="C285"/>
    <x v="3"/>
    <x v="2"/>
    <x v="18"/>
    <n v="2"/>
    <n v="1770"/>
    <n v="3540"/>
  </r>
  <r>
    <n v="1573"/>
    <s v="26-06-2024"/>
    <x v="3"/>
    <s v="C329"/>
    <x v="0"/>
    <x v="0"/>
    <x v="10"/>
    <n v="1"/>
    <n v="4155"/>
    <n v="4155"/>
  </r>
  <r>
    <n v="1515"/>
    <s v="12-01-2024"/>
    <x v="0"/>
    <s v="C142"/>
    <x v="3"/>
    <x v="0"/>
    <x v="0"/>
    <n v="5"/>
    <n v="698"/>
    <n v="3490"/>
  </r>
  <r>
    <n v="1407"/>
    <s v="10-09-2024"/>
    <x v="8"/>
    <s v="C275"/>
    <x v="0"/>
    <x v="3"/>
    <x v="12"/>
    <n v="5"/>
    <n v="3396"/>
    <n v="16980"/>
  </r>
  <r>
    <n v="1188"/>
    <s v="02-01-2024"/>
    <x v="0"/>
    <s v="C140"/>
    <x v="1"/>
    <x v="1"/>
    <x v="1"/>
    <n v="5"/>
    <n v="4501"/>
    <n v="22505"/>
  </r>
  <r>
    <n v="1303"/>
    <s v="28-12-2024"/>
    <x v="7"/>
    <s v="C168"/>
    <x v="3"/>
    <x v="3"/>
    <x v="12"/>
    <n v="5"/>
    <n v="2151"/>
    <n v="10755"/>
  </r>
  <r>
    <n v="1284"/>
    <s v="09-03-2024"/>
    <x v="2"/>
    <s v="C169"/>
    <x v="2"/>
    <x v="3"/>
    <x v="12"/>
    <n v="1"/>
    <n v="3046"/>
    <n v="3046"/>
  </r>
  <r>
    <n v="1332"/>
    <s v="12-02-2024"/>
    <x v="1"/>
    <s v="C342"/>
    <x v="4"/>
    <x v="0"/>
    <x v="0"/>
    <n v="3"/>
    <n v="669"/>
    <n v="2007"/>
  </r>
  <r>
    <n v="1364"/>
    <s v="22-04-2024"/>
    <x v="6"/>
    <s v="C287"/>
    <x v="3"/>
    <x v="0"/>
    <x v="0"/>
    <n v="5"/>
    <n v="4978"/>
    <n v="24890"/>
  </r>
  <r>
    <n v="1391"/>
    <s v="30-11-2024"/>
    <x v="5"/>
    <s v="C165"/>
    <x v="2"/>
    <x v="1"/>
    <x v="6"/>
    <n v="3"/>
    <n v="1870"/>
    <n v="5610"/>
  </r>
  <r>
    <n v="1404"/>
    <s v="20-03-2024"/>
    <x v="2"/>
    <s v="C214"/>
    <x v="0"/>
    <x v="1"/>
    <x v="6"/>
    <n v="4"/>
    <n v="967"/>
    <n v="3868"/>
  </r>
  <r>
    <n v="1180"/>
    <s v="06-04-2024"/>
    <x v="6"/>
    <s v="C245"/>
    <x v="3"/>
    <x v="2"/>
    <x v="18"/>
    <n v="3"/>
    <n v="1534"/>
    <n v="4602"/>
  </r>
  <r>
    <n v="1192"/>
    <s v="05-02-2024"/>
    <x v="1"/>
    <s v="C136"/>
    <x v="1"/>
    <x v="3"/>
    <x v="11"/>
    <n v="4"/>
    <n v="1021"/>
    <n v="4084"/>
  </r>
  <r>
    <n v="1012"/>
    <s v="04-11-2024"/>
    <x v="5"/>
    <s v="C125"/>
    <x v="2"/>
    <x v="2"/>
    <x v="5"/>
    <n v="1"/>
    <n v="558"/>
    <n v="558"/>
  </r>
  <r>
    <n v="1274"/>
    <s v="14-03-2024"/>
    <x v="2"/>
    <s v="C340"/>
    <x v="2"/>
    <x v="3"/>
    <x v="4"/>
    <n v="1"/>
    <n v="1857"/>
    <n v="1857"/>
  </r>
  <r>
    <n v="1454"/>
    <s v="24-03-2024"/>
    <x v="2"/>
    <s v="C178"/>
    <x v="1"/>
    <x v="0"/>
    <x v="10"/>
    <n v="1"/>
    <n v="4652"/>
    <n v="4652"/>
  </r>
  <r>
    <n v="1126"/>
    <s v="11-01-2024"/>
    <x v="0"/>
    <s v="C311"/>
    <x v="2"/>
    <x v="3"/>
    <x v="4"/>
    <n v="5"/>
    <n v="3602"/>
    <n v="18010"/>
  </r>
  <r>
    <n v="1024"/>
    <s v="26-04-2024"/>
    <x v="6"/>
    <s v="C209"/>
    <x v="3"/>
    <x v="2"/>
    <x v="18"/>
    <n v="2"/>
    <n v="3351"/>
    <n v="6702"/>
  </r>
  <r>
    <n v="1115"/>
    <s v="08-09-2024"/>
    <x v="8"/>
    <s v="C143"/>
    <x v="3"/>
    <x v="3"/>
    <x v="12"/>
    <n v="3"/>
    <n v="824"/>
    <n v="2472"/>
  </r>
  <r>
    <n v="1086"/>
    <s v="23-01-2024"/>
    <x v="0"/>
    <s v="C254"/>
    <x v="2"/>
    <x v="1"/>
    <x v="16"/>
    <n v="5"/>
    <n v="1685"/>
    <n v="8425"/>
  </r>
  <r>
    <n v="1308"/>
    <s v="15-11-2024"/>
    <x v="5"/>
    <s v="C309"/>
    <x v="3"/>
    <x v="0"/>
    <x v="13"/>
    <n v="4"/>
    <n v="3223"/>
    <n v="12892"/>
  </r>
  <r>
    <n v="1078"/>
    <s v="02-01-2024"/>
    <x v="0"/>
    <s v="C320"/>
    <x v="0"/>
    <x v="1"/>
    <x v="16"/>
    <n v="4"/>
    <n v="3859"/>
    <n v="15436"/>
  </r>
  <r>
    <n v="1489"/>
    <s v="04-02-2024"/>
    <x v="1"/>
    <s v="C128"/>
    <x v="2"/>
    <x v="2"/>
    <x v="2"/>
    <n v="3"/>
    <n v="1244"/>
    <n v="3732"/>
  </r>
  <r>
    <n v="1326"/>
    <s v="10-09-2024"/>
    <x v="8"/>
    <s v="C208"/>
    <x v="0"/>
    <x v="2"/>
    <x v="5"/>
    <n v="2"/>
    <n v="3339"/>
    <n v="6678"/>
  </r>
  <r>
    <n v="1546"/>
    <s v="09-09-2024"/>
    <x v="8"/>
    <s v="C236"/>
    <x v="0"/>
    <x v="1"/>
    <x v="6"/>
    <n v="5"/>
    <n v="4933"/>
    <n v="24665"/>
  </r>
  <r>
    <n v="1224"/>
    <s v="25-12-2024"/>
    <x v="7"/>
    <s v="C122"/>
    <x v="1"/>
    <x v="1"/>
    <x v="14"/>
    <n v="1"/>
    <n v="3168"/>
    <n v="3168"/>
  </r>
  <r>
    <n v="1112"/>
    <s v="31-01-2024"/>
    <x v="0"/>
    <s v="C333"/>
    <x v="3"/>
    <x v="0"/>
    <x v="13"/>
    <n v="4"/>
    <n v="1380"/>
    <n v="5520"/>
  </r>
  <r>
    <n v="1431"/>
    <s v="04-05-2024"/>
    <x v="9"/>
    <s v="C153"/>
    <x v="2"/>
    <x v="1"/>
    <x v="9"/>
    <n v="2"/>
    <n v="3292"/>
    <n v="6584"/>
  </r>
  <r>
    <n v="1434"/>
    <s v="09-07-2024"/>
    <x v="11"/>
    <s v="C113"/>
    <x v="1"/>
    <x v="3"/>
    <x v="7"/>
    <n v="5"/>
    <n v="1495"/>
    <n v="7475"/>
  </r>
  <r>
    <n v="1080"/>
    <s v="05-05-2024"/>
    <x v="9"/>
    <s v="C119"/>
    <x v="0"/>
    <x v="3"/>
    <x v="7"/>
    <n v="2"/>
    <n v="4048"/>
    <n v="8096"/>
  </r>
  <r>
    <n v="1306"/>
    <s v="28-08-2024"/>
    <x v="10"/>
    <s v="C205"/>
    <x v="3"/>
    <x v="0"/>
    <x v="10"/>
    <n v="1"/>
    <n v="1477"/>
    <n v="1477"/>
  </r>
  <r>
    <n v="1177"/>
    <s v="14-09-2024"/>
    <x v="8"/>
    <s v="C141"/>
    <x v="1"/>
    <x v="3"/>
    <x v="11"/>
    <n v="5"/>
    <n v="2313"/>
    <n v="11565"/>
  </r>
  <r>
    <n v="1232"/>
    <s v="04-08-2024"/>
    <x v="10"/>
    <s v="C338"/>
    <x v="0"/>
    <x v="1"/>
    <x v="14"/>
    <n v="2"/>
    <n v="1935"/>
    <n v="3870"/>
  </r>
  <r>
    <n v="1401"/>
    <s v="04-04-2024"/>
    <x v="6"/>
    <s v="C310"/>
    <x v="2"/>
    <x v="3"/>
    <x v="11"/>
    <n v="4"/>
    <n v="3316"/>
    <n v="13264"/>
  </r>
  <r>
    <n v="1434"/>
    <s v="09-04-2024"/>
    <x v="6"/>
    <s v="C169"/>
    <x v="2"/>
    <x v="3"/>
    <x v="4"/>
    <n v="5"/>
    <n v="2948"/>
    <n v="14740"/>
  </r>
  <r>
    <n v="1554"/>
    <s v="24-02-2024"/>
    <x v="1"/>
    <s v="C116"/>
    <x v="3"/>
    <x v="1"/>
    <x v="1"/>
    <n v="2"/>
    <n v="4719"/>
    <n v="9438"/>
  </r>
  <r>
    <n v="1246"/>
    <s v="17-05-2024"/>
    <x v="9"/>
    <s v="C121"/>
    <x v="3"/>
    <x v="3"/>
    <x v="7"/>
    <n v="1"/>
    <n v="2777"/>
    <n v="2777"/>
  </r>
  <r>
    <n v="1365"/>
    <s v="24-05-2024"/>
    <x v="9"/>
    <s v="C345"/>
    <x v="2"/>
    <x v="2"/>
    <x v="8"/>
    <n v="4"/>
    <n v="3115"/>
    <n v="12460"/>
  </r>
  <r>
    <n v="1099"/>
    <s v="18-06-2024"/>
    <x v="3"/>
    <s v="C204"/>
    <x v="3"/>
    <x v="3"/>
    <x v="7"/>
    <n v="5"/>
    <n v="3330"/>
    <n v="16650"/>
  </r>
  <r>
    <n v="1038"/>
    <s v="28-05-2024"/>
    <x v="9"/>
    <s v="C141"/>
    <x v="2"/>
    <x v="1"/>
    <x v="6"/>
    <n v="2"/>
    <n v="1966"/>
    <n v="3932"/>
  </r>
  <r>
    <n v="1164"/>
    <s v="13-09-2024"/>
    <x v="8"/>
    <s v="C232"/>
    <x v="2"/>
    <x v="0"/>
    <x v="10"/>
    <n v="3"/>
    <n v="3151"/>
    <n v="9453"/>
  </r>
  <r>
    <n v="1040"/>
    <s v="30-12-2024"/>
    <x v="7"/>
    <s v="C298"/>
    <x v="2"/>
    <x v="2"/>
    <x v="18"/>
    <n v="2"/>
    <n v="4844"/>
    <n v="9688"/>
  </r>
  <r>
    <n v="1015"/>
    <s v="14-03-2024"/>
    <x v="2"/>
    <s v="C296"/>
    <x v="1"/>
    <x v="0"/>
    <x v="19"/>
    <n v="1"/>
    <n v="3925"/>
    <n v="3925"/>
  </r>
  <r>
    <n v="1165"/>
    <s v="04-02-2024"/>
    <x v="1"/>
    <s v="C171"/>
    <x v="2"/>
    <x v="0"/>
    <x v="13"/>
    <n v="2"/>
    <n v="3974"/>
    <n v="7948"/>
  </r>
  <r>
    <n v="1262"/>
    <s v="14-08-2024"/>
    <x v="10"/>
    <s v="C266"/>
    <x v="3"/>
    <x v="1"/>
    <x v="9"/>
    <n v="3"/>
    <n v="2548"/>
    <n v="7644"/>
  </r>
  <r>
    <n v="1132"/>
    <s v="13-08-2024"/>
    <x v="10"/>
    <s v="C193"/>
    <x v="0"/>
    <x v="0"/>
    <x v="13"/>
    <n v="5"/>
    <n v="3887"/>
    <n v="19435"/>
  </r>
  <r>
    <n v="1043"/>
    <s v="13-11-2024"/>
    <x v="5"/>
    <s v="C350"/>
    <x v="0"/>
    <x v="3"/>
    <x v="12"/>
    <n v="1"/>
    <n v="2581"/>
    <n v="2581"/>
  </r>
  <r>
    <n v="1074"/>
    <s v="24-04-2024"/>
    <x v="6"/>
    <s v="C199"/>
    <x v="1"/>
    <x v="2"/>
    <x v="17"/>
    <n v="4"/>
    <n v="4583"/>
    <n v="18332"/>
  </r>
  <r>
    <n v="1087"/>
    <s v="02-04-2024"/>
    <x v="6"/>
    <s v="C287"/>
    <x v="1"/>
    <x v="3"/>
    <x v="11"/>
    <n v="4"/>
    <n v="2892"/>
    <n v="11568"/>
  </r>
  <r>
    <n v="1497"/>
    <s v="18-04-2024"/>
    <x v="6"/>
    <s v="C279"/>
    <x v="1"/>
    <x v="2"/>
    <x v="17"/>
    <n v="1"/>
    <n v="4665"/>
    <n v="4665"/>
  </r>
  <r>
    <n v="1218"/>
    <s v="12-06-2024"/>
    <x v="3"/>
    <s v="C245"/>
    <x v="3"/>
    <x v="3"/>
    <x v="7"/>
    <n v="3"/>
    <n v="3723"/>
    <n v="11169"/>
  </r>
  <r>
    <n v="1216"/>
    <s v="12-01-2024"/>
    <x v="0"/>
    <s v="C343"/>
    <x v="0"/>
    <x v="2"/>
    <x v="2"/>
    <n v="1"/>
    <n v="1361"/>
    <n v="1361"/>
  </r>
  <r>
    <n v="1305"/>
    <s v="30-12-2024"/>
    <x v="7"/>
    <s v="C215"/>
    <x v="3"/>
    <x v="2"/>
    <x v="8"/>
    <n v="2"/>
    <n v="640"/>
    <n v="1280"/>
  </r>
  <r>
    <n v="1350"/>
    <s v="01-06-2024"/>
    <x v="3"/>
    <s v="C142"/>
    <x v="1"/>
    <x v="1"/>
    <x v="14"/>
    <n v="4"/>
    <n v="4586"/>
    <n v="18344"/>
  </r>
  <r>
    <n v="1447"/>
    <s v="30-06-2024"/>
    <x v="3"/>
    <s v="C333"/>
    <x v="2"/>
    <x v="2"/>
    <x v="17"/>
    <n v="5"/>
    <n v="1384"/>
    <n v="6920"/>
  </r>
  <r>
    <n v="1324"/>
    <s v="08-01-2024"/>
    <x v="0"/>
    <s v="C138"/>
    <x v="2"/>
    <x v="2"/>
    <x v="18"/>
    <n v="1"/>
    <n v="3529"/>
    <n v="3529"/>
  </r>
  <r>
    <n v="1461"/>
    <s v="05-03-2024"/>
    <x v="2"/>
    <s v="C262"/>
    <x v="3"/>
    <x v="2"/>
    <x v="8"/>
    <n v="2"/>
    <n v="1737"/>
    <n v="3474"/>
  </r>
  <r>
    <n v="1170"/>
    <s v="03-11-2024"/>
    <x v="5"/>
    <s v="C196"/>
    <x v="1"/>
    <x v="1"/>
    <x v="14"/>
    <n v="5"/>
    <n v="317"/>
    <n v="1585"/>
  </r>
  <r>
    <n v="1309"/>
    <s v="06-06-2024"/>
    <x v="3"/>
    <s v="C228"/>
    <x v="0"/>
    <x v="3"/>
    <x v="11"/>
    <n v="4"/>
    <n v="3081"/>
    <n v="12324"/>
  </r>
  <r>
    <n v="1535"/>
    <s v="20-06-2024"/>
    <x v="3"/>
    <s v="C129"/>
    <x v="2"/>
    <x v="1"/>
    <x v="6"/>
    <n v="2"/>
    <n v="4728"/>
    <n v="9456"/>
  </r>
  <r>
    <n v="1390"/>
    <s v="25-05-2024"/>
    <x v="9"/>
    <s v="C316"/>
    <x v="2"/>
    <x v="2"/>
    <x v="2"/>
    <n v="1"/>
    <n v="934"/>
    <n v="934"/>
  </r>
  <r>
    <n v="1421"/>
    <s v="23-02-2024"/>
    <x v="1"/>
    <s v="C227"/>
    <x v="3"/>
    <x v="3"/>
    <x v="11"/>
    <n v="4"/>
    <n v="1935"/>
    <n v="7740"/>
  </r>
  <r>
    <n v="1390"/>
    <s v="28-02-2024"/>
    <x v="1"/>
    <s v="C150"/>
    <x v="1"/>
    <x v="2"/>
    <x v="20"/>
    <n v="4"/>
    <n v="3442"/>
    <n v="13768"/>
  </r>
  <r>
    <n v="1229"/>
    <s v="16-09-2024"/>
    <x v="8"/>
    <s v="C172"/>
    <x v="0"/>
    <x v="0"/>
    <x v="13"/>
    <n v="2"/>
    <n v="234"/>
    <n v="468"/>
  </r>
  <r>
    <n v="1015"/>
    <s v="14-01-2024"/>
    <x v="0"/>
    <s v="C139"/>
    <x v="2"/>
    <x v="0"/>
    <x v="19"/>
    <n v="2"/>
    <n v="4887"/>
    <n v="9774"/>
  </r>
  <r>
    <n v="1400"/>
    <s v="08-04-2024"/>
    <x v="6"/>
    <s v="C257"/>
    <x v="0"/>
    <x v="2"/>
    <x v="17"/>
    <n v="4"/>
    <n v="1623"/>
    <n v="6492"/>
  </r>
  <r>
    <n v="1162"/>
    <s v="11-08-2024"/>
    <x v="10"/>
    <s v="C159"/>
    <x v="0"/>
    <x v="3"/>
    <x v="12"/>
    <n v="3"/>
    <n v="4729"/>
    <n v="14187"/>
  </r>
  <r>
    <n v="1095"/>
    <s v="17-02-2024"/>
    <x v="1"/>
    <s v="C106"/>
    <x v="3"/>
    <x v="2"/>
    <x v="17"/>
    <n v="5"/>
    <n v="4653"/>
    <n v="23265"/>
  </r>
  <r>
    <n v="1391"/>
    <s v="13-01-2024"/>
    <x v="0"/>
    <s v="C290"/>
    <x v="0"/>
    <x v="1"/>
    <x v="6"/>
    <n v="2"/>
    <n v="2016"/>
    <n v="4032"/>
  </r>
  <r>
    <n v="1251"/>
    <s v="12-07-2024"/>
    <x v="11"/>
    <s v="C297"/>
    <x v="2"/>
    <x v="0"/>
    <x v="3"/>
    <n v="2"/>
    <n v="389"/>
    <n v="778"/>
  </r>
  <r>
    <n v="1105"/>
    <s v="26-02-2024"/>
    <x v="1"/>
    <s v="C217"/>
    <x v="3"/>
    <x v="3"/>
    <x v="4"/>
    <n v="3"/>
    <n v="1679"/>
    <n v="5037"/>
  </r>
  <r>
    <n v="1370"/>
    <s v="16-04-2024"/>
    <x v="6"/>
    <s v="C200"/>
    <x v="0"/>
    <x v="3"/>
    <x v="11"/>
    <n v="1"/>
    <n v="4185"/>
    <n v="4185"/>
  </r>
  <r>
    <n v="1429"/>
    <s v="11-07-2024"/>
    <x v="11"/>
    <s v="C327"/>
    <x v="0"/>
    <x v="0"/>
    <x v="10"/>
    <n v="3"/>
    <n v="283"/>
    <n v="849"/>
  </r>
  <r>
    <n v="1032"/>
    <s v="01-03-2024"/>
    <x v="2"/>
    <s v="C349"/>
    <x v="3"/>
    <x v="0"/>
    <x v="13"/>
    <n v="2"/>
    <n v="4474"/>
    <n v="8948"/>
  </r>
  <r>
    <n v="1197"/>
    <s v="06-11-2024"/>
    <x v="5"/>
    <s v="C107"/>
    <x v="1"/>
    <x v="3"/>
    <x v="7"/>
    <n v="3"/>
    <n v="1140"/>
    <n v="3420"/>
  </r>
  <r>
    <n v="1141"/>
    <s v="22-04-2024"/>
    <x v="6"/>
    <s v="C121"/>
    <x v="1"/>
    <x v="1"/>
    <x v="14"/>
    <n v="2"/>
    <n v="953"/>
    <n v="1906"/>
  </r>
  <r>
    <n v="1301"/>
    <s v="27-08-2024"/>
    <x v="10"/>
    <s v="C290"/>
    <x v="1"/>
    <x v="2"/>
    <x v="5"/>
    <n v="3"/>
    <n v="1616"/>
    <n v="4848"/>
  </r>
  <r>
    <n v="1287"/>
    <s v="20-07-2024"/>
    <x v="11"/>
    <s v="C126"/>
    <x v="1"/>
    <x v="0"/>
    <x v="0"/>
    <n v="4"/>
    <n v="3854"/>
    <n v="15416"/>
  </r>
  <r>
    <n v="1326"/>
    <s v="14-11-2024"/>
    <x v="5"/>
    <s v="C127"/>
    <x v="2"/>
    <x v="2"/>
    <x v="5"/>
    <n v="3"/>
    <n v="726"/>
    <n v="2178"/>
  </r>
  <r>
    <n v="1523"/>
    <s v="09-05-2024"/>
    <x v="9"/>
    <s v="C250"/>
    <x v="0"/>
    <x v="2"/>
    <x v="2"/>
    <n v="1"/>
    <n v="1139"/>
    <n v="1139"/>
  </r>
  <r>
    <n v="1190"/>
    <s v="02-07-2024"/>
    <x v="11"/>
    <s v="C162"/>
    <x v="2"/>
    <x v="3"/>
    <x v="12"/>
    <n v="2"/>
    <n v="2775"/>
    <n v="5550"/>
  </r>
  <r>
    <n v="1011"/>
    <s v="17-06-2024"/>
    <x v="3"/>
    <s v="C154"/>
    <x v="1"/>
    <x v="2"/>
    <x v="8"/>
    <n v="5"/>
    <n v="742"/>
    <n v="3710"/>
  </r>
  <r>
    <n v="1539"/>
    <s v="21-04-2024"/>
    <x v="6"/>
    <s v="C126"/>
    <x v="0"/>
    <x v="0"/>
    <x v="19"/>
    <n v="4"/>
    <n v="2803"/>
    <n v="11212"/>
  </r>
  <r>
    <n v="1050"/>
    <s v="09-09-2024"/>
    <x v="8"/>
    <s v="C227"/>
    <x v="2"/>
    <x v="3"/>
    <x v="15"/>
    <n v="1"/>
    <n v="3909"/>
    <n v="3909"/>
  </r>
  <r>
    <n v="1392"/>
    <s v="01-05-2024"/>
    <x v="9"/>
    <s v="C247"/>
    <x v="3"/>
    <x v="3"/>
    <x v="15"/>
    <n v="4"/>
    <n v="2529"/>
    <n v="10116"/>
  </r>
  <r>
    <n v="1037"/>
    <s v="30-09-2024"/>
    <x v="8"/>
    <s v="C335"/>
    <x v="2"/>
    <x v="3"/>
    <x v="15"/>
    <n v="4"/>
    <n v="979"/>
    <n v="3916"/>
  </r>
  <r>
    <n v="1308"/>
    <s v="20-05-2024"/>
    <x v="9"/>
    <s v="C181"/>
    <x v="2"/>
    <x v="0"/>
    <x v="10"/>
    <n v="4"/>
    <n v="585"/>
    <n v="2340"/>
  </r>
  <r>
    <n v="1465"/>
    <s v="09-09-2024"/>
    <x v="8"/>
    <s v="C317"/>
    <x v="3"/>
    <x v="3"/>
    <x v="15"/>
    <n v="2"/>
    <n v="591"/>
    <n v="1182"/>
  </r>
  <r>
    <n v="1330"/>
    <s v="18-12-2024"/>
    <x v="7"/>
    <s v="C285"/>
    <x v="2"/>
    <x v="2"/>
    <x v="18"/>
    <n v="2"/>
    <n v="3221"/>
    <n v="6442"/>
  </r>
  <r>
    <n v="1005"/>
    <s v="18-12-2024"/>
    <x v="7"/>
    <s v="C322"/>
    <x v="2"/>
    <x v="3"/>
    <x v="15"/>
    <n v="1"/>
    <n v="2692"/>
    <n v="2692"/>
  </r>
  <r>
    <n v="1388"/>
    <s v="18-05-2024"/>
    <x v="9"/>
    <s v="C278"/>
    <x v="2"/>
    <x v="1"/>
    <x v="16"/>
    <n v="2"/>
    <n v="2815"/>
    <n v="5630"/>
  </r>
  <r>
    <n v="1423"/>
    <s v="22-11-2024"/>
    <x v="5"/>
    <s v="C214"/>
    <x v="1"/>
    <x v="3"/>
    <x v="7"/>
    <n v="4"/>
    <n v="2498"/>
    <n v="9992"/>
  </r>
  <r>
    <n v="1231"/>
    <s v="17-02-2024"/>
    <x v="1"/>
    <s v="C167"/>
    <x v="1"/>
    <x v="0"/>
    <x v="3"/>
    <n v="2"/>
    <n v="839"/>
    <n v="1678"/>
  </r>
  <r>
    <n v="1217"/>
    <s v="07-01-2024"/>
    <x v="0"/>
    <s v="C271"/>
    <x v="1"/>
    <x v="1"/>
    <x v="6"/>
    <n v="4"/>
    <n v="1056"/>
    <n v="4224"/>
  </r>
  <r>
    <n v="1540"/>
    <s v="20-09-2024"/>
    <x v="8"/>
    <s v="C319"/>
    <x v="0"/>
    <x v="0"/>
    <x v="13"/>
    <n v="5"/>
    <n v="1065"/>
    <n v="5325"/>
  </r>
  <r>
    <n v="1372"/>
    <s v="16-07-2024"/>
    <x v="11"/>
    <s v="C349"/>
    <x v="0"/>
    <x v="2"/>
    <x v="8"/>
    <n v="2"/>
    <n v="762"/>
    <n v="1524"/>
  </r>
  <r>
    <n v="1314"/>
    <s v="22-10-2024"/>
    <x v="4"/>
    <s v="C265"/>
    <x v="2"/>
    <x v="3"/>
    <x v="20"/>
    <n v="1"/>
    <n v="2170"/>
    <n v="2170"/>
  </r>
  <r>
    <n v="1273"/>
    <s v="15-01-2024"/>
    <x v="0"/>
    <s v="C221"/>
    <x v="2"/>
    <x v="2"/>
    <x v="2"/>
    <n v="5"/>
    <n v="888"/>
    <n v="4440"/>
  </r>
  <r>
    <n v="1406"/>
    <s v="14-09-2024"/>
    <x v="8"/>
    <s v="C210"/>
    <x v="3"/>
    <x v="0"/>
    <x v="3"/>
    <n v="3"/>
    <n v="1001"/>
    <n v="3003"/>
  </r>
  <r>
    <n v="1432"/>
    <s v="09-04-2024"/>
    <x v="6"/>
    <s v="C175"/>
    <x v="3"/>
    <x v="1"/>
    <x v="6"/>
    <n v="5"/>
    <n v="4243"/>
    <n v="21215"/>
  </r>
  <r>
    <n v="1051"/>
    <s v="26-11-2024"/>
    <x v="5"/>
    <s v="C163"/>
    <x v="3"/>
    <x v="3"/>
    <x v="12"/>
    <n v="1"/>
    <n v="4912"/>
    <n v="4912"/>
  </r>
  <r>
    <n v="1103"/>
    <s v="21-05-2024"/>
    <x v="9"/>
    <s v="C157"/>
    <x v="2"/>
    <x v="2"/>
    <x v="5"/>
    <n v="2"/>
    <n v="2397"/>
    <n v="4794"/>
  </r>
  <r>
    <n v="1208"/>
    <s v="26-06-2024"/>
    <x v="3"/>
    <s v="C263"/>
    <x v="3"/>
    <x v="0"/>
    <x v="19"/>
    <n v="1"/>
    <n v="1716"/>
    <n v="1716"/>
  </r>
  <r>
    <n v="1488"/>
    <s v="05-06-2024"/>
    <x v="3"/>
    <s v="C318"/>
    <x v="2"/>
    <x v="1"/>
    <x v="16"/>
    <n v="2"/>
    <n v="1734"/>
    <n v="3468"/>
  </r>
  <r>
    <n v="1013"/>
    <s v="07-12-2024"/>
    <x v="7"/>
    <s v="C221"/>
    <x v="0"/>
    <x v="2"/>
    <x v="2"/>
    <n v="3"/>
    <n v="830"/>
    <n v="2490"/>
  </r>
  <r>
    <n v="1009"/>
    <s v="31-10-2024"/>
    <x v="4"/>
    <s v="C190"/>
    <x v="1"/>
    <x v="2"/>
    <x v="8"/>
    <n v="2"/>
    <n v="4071"/>
    <n v="8142"/>
  </r>
  <r>
    <n v="1580"/>
    <s v="14-12-2024"/>
    <x v="7"/>
    <s v="C174"/>
    <x v="0"/>
    <x v="1"/>
    <x v="1"/>
    <n v="1"/>
    <n v="1019"/>
    <n v="1019"/>
  </r>
  <r>
    <n v="1463"/>
    <s v="08-09-2024"/>
    <x v="8"/>
    <s v="C288"/>
    <x v="1"/>
    <x v="0"/>
    <x v="19"/>
    <n v="3"/>
    <n v="3184"/>
    <n v="9552"/>
  </r>
  <r>
    <n v="1308"/>
    <s v="29-12-2024"/>
    <x v="7"/>
    <s v="C185"/>
    <x v="3"/>
    <x v="2"/>
    <x v="17"/>
    <n v="2"/>
    <n v="3561"/>
    <n v="7122"/>
  </r>
  <r>
    <n v="1145"/>
    <s v="01-07-2024"/>
    <x v="11"/>
    <s v="C227"/>
    <x v="2"/>
    <x v="3"/>
    <x v="12"/>
    <n v="2"/>
    <n v="931"/>
    <n v="1862"/>
  </r>
  <r>
    <n v="1110"/>
    <s v="20-05-2024"/>
    <x v="9"/>
    <s v="C324"/>
    <x v="3"/>
    <x v="2"/>
    <x v="8"/>
    <n v="3"/>
    <n v="2913"/>
    <n v="8739"/>
  </r>
  <r>
    <n v="1282"/>
    <s v="07-06-2024"/>
    <x v="3"/>
    <s v="C148"/>
    <x v="2"/>
    <x v="3"/>
    <x v="7"/>
    <n v="4"/>
    <n v="3927"/>
    <n v="15708"/>
  </r>
  <r>
    <n v="1355"/>
    <s v="27-05-2024"/>
    <x v="9"/>
    <s v="C128"/>
    <x v="1"/>
    <x v="3"/>
    <x v="11"/>
    <n v="2"/>
    <n v="4485"/>
    <n v="8970"/>
  </r>
  <r>
    <n v="1166"/>
    <s v="04-06-2024"/>
    <x v="3"/>
    <s v="C224"/>
    <x v="3"/>
    <x v="0"/>
    <x v="3"/>
    <n v="4"/>
    <n v="535"/>
    <n v="2140"/>
  </r>
  <r>
    <n v="1126"/>
    <s v="28-01-2024"/>
    <x v="0"/>
    <s v="C225"/>
    <x v="2"/>
    <x v="0"/>
    <x v="3"/>
    <n v="1"/>
    <n v="608"/>
    <n v="608"/>
  </r>
  <r>
    <n v="1290"/>
    <s v="14-09-2024"/>
    <x v="8"/>
    <s v="C270"/>
    <x v="0"/>
    <x v="1"/>
    <x v="9"/>
    <n v="2"/>
    <n v="3739"/>
    <n v="7478"/>
  </r>
  <r>
    <n v="1224"/>
    <s v="17-01-2024"/>
    <x v="0"/>
    <s v="C221"/>
    <x v="0"/>
    <x v="0"/>
    <x v="0"/>
    <n v="4"/>
    <n v="1003"/>
    <n v="4012"/>
  </r>
  <r>
    <n v="1318"/>
    <s v="29-03-2024"/>
    <x v="2"/>
    <s v="C244"/>
    <x v="1"/>
    <x v="2"/>
    <x v="2"/>
    <n v="3"/>
    <n v="1311"/>
    <n v="3933"/>
  </r>
  <r>
    <n v="1312"/>
    <s v="13-02-2024"/>
    <x v="1"/>
    <s v="C176"/>
    <x v="0"/>
    <x v="2"/>
    <x v="8"/>
    <n v="4"/>
    <n v="986"/>
    <n v="3944"/>
  </r>
  <r>
    <n v="1320"/>
    <s v="14-09-2024"/>
    <x v="8"/>
    <s v="C339"/>
    <x v="0"/>
    <x v="0"/>
    <x v="10"/>
    <n v="4"/>
    <n v="3644"/>
    <n v="14576"/>
  </r>
  <r>
    <n v="1572"/>
    <s v="14-01-2024"/>
    <x v="0"/>
    <s v="C345"/>
    <x v="3"/>
    <x v="2"/>
    <x v="17"/>
    <n v="2"/>
    <n v="4954"/>
    <n v="9908"/>
  </r>
  <r>
    <n v="1556"/>
    <s v="16-10-2024"/>
    <x v="4"/>
    <s v="C324"/>
    <x v="0"/>
    <x v="0"/>
    <x v="3"/>
    <n v="4"/>
    <n v="248"/>
    <n v="992"/>
  </r>
  <r>
    <n v="1530"/>
    <s v="23-08-2024"/>
    <x v="10"/>
    <s v="C314"/>
    <x v="3"/>
    <x v="3"/>
    <x v="4"/>
    <n v="1"/>
    <n v="2931"/>
    <n v="2931"/>
  </r>
  <r>
    <n v="1579"/>
    <s v="03-09-2024"/>
    <x v="8"/>
    <s v="C276"/>
    <x v="3"/>
    <x v="0"/>
    <x v="3"/>
    <n v="2"/>
    <n v="4429"/>
    <n v="8858"/>
  </r>
  <r>
    <n v="1507"/>
    <s v="10-03-2024"/>
    <x v="2"/>
    <s v="C157"/>
    <x v="4"/>
    <x v="1"/>
    <x v="14"/>
    <n v="4"/>
    <n v="1844"/>
    <n v="7376"/>
  </r>
  <r>
    <n v="1123"/>
    <s v="23-09-2024"/>
    <x v="8"/>
    <s v="C124"/>
    <x v="1"/>
    <x v="1"/>
    <x v="16"/>
    <n v="1"/>
    <n v="4343"/>
    <n v="4343"/>
  </r>
  <r>
    <n v="1124"/>
    <s v="02-06-2024"/>
    <x v="3"/>
    <s v="C203"/>
    <x v="3"/>
    <x v="2"/>
    <x v="18"/>
    <n v="5"/>
    <n v="3797"/>
    <n v="18985"/>
  </r>
  <r>
    <n v="1442"/>
    <s v="15-03-2024"/>
    <x v="2"/>
    <s v="C262"/>
    <x v="1"/>
    <x v="3"/>
    <x v="12"/>
    <n v="2"/>
    <n v="4390"/>
    <n v="8780"/>
  </r>
  <r>
    <n v="1487"/>
    <s v="02-09-2024"/>
    <x v="8"/>
    <s v="C174"/>
    <x v="2"/>
    <x v="0"/>
    <x v="3"/>
    <n v="3"/>
    <n v="3404"/>
    <n v="10212"/>
  </r>
  <r>
    <n v="1475"/>
    <s v="01-08-2024"/>
    <x v="10"/>
    <s v="C308"/>
    <x v="4"/>
    <x v="2"/>
    <x v="18"/>
    <n v="4"/>
    <n v="1184"/>
    <n v="4736"/>
  </r>
  <r>
    <n v="1310"/>
    <s v="18-01-2024"/>
    <x v="0"/>
    <s v="C265"/>
    <x v="0"/>
    <x v="2"/>
    <x v="17"/>
    <n v="4"/>
    <n v="3954"/>
    <n v="15816"/>
  </r>
  <r>
    <n v="1366"/>
    <s v="13-09-2024"/>
    <x v="8"/>
    <s v="C319"/>
    <x v="2"/>
    <x v="1"/>
    <x v="14"/>
    <n v="2"/>
    <n v="1440"/>
    <n v="2880"/>
  </r>
  <r>
    <n v="1347"/>
    <s v="23-08-2024"/>
    <x v="10"/>
    <s v="C283"/>
    <x v="0"/>
    <x v="1"/>
    <x v="14"/>
    <n v="1"/>
    <n v="4162"/>
    <n v="4162"/>
  </r>
  <r>
    <n v="1184"/>
    <s v="21-10-2024"/>
    <x v="4"/>
    <s v="C281"/>
    <x v="2"/>
    <x v="0"/>
    <x v="0"/>
    <n v="5"/>
    <n v="3507"/>
    <n v="17535"/>
  </r>
  <r>
    <n v="1162"/>
    <s v="28-04-2024"/>
    <x v="6"/>
    <s v="C124"/>
    <x v="2"/>
    <x v="3"/>
    <x v="11"/>
    <n v="2"/>
    <n v="2138"/>
    <n v="4276"/>
  </r>
  <r>
    <n v="1393"/>
    <s v="03-08-2024"/>
    <x v="10"/>
    <s v="C336"/>
    <x v="2"/>
    <x v="3"/>
    <x v="4"/>
    <n v="1"/>
    <n v="797"/>
    <n v="797"/>
  </r>
  <r>
    <n v="1030"/>
    <s v="30-03-2024"/>
    <x v="2"/>
    <s v="C182"/>
    <x v="0"/>
    <x v="3"/>
    <x v="11"/>
    <n v="5"/>
    <n v="4758"/>
    <n v="23790"/>
  </r>
  <r>
    <n v="1448"/>
    <s v="13-12-2024"/>
    <x v="7"/>
    <s v="C173"/>
    <x v="0"/>
    <x v="1"/>
    <x v="16"/>
    <n v="5"/>
    <n v="1775"/>
    <n v="8875"/>
  </r>
  <r>
    <n v="1098"/>
    <s v="14-04-2024"/>
    <x v="6"/>
    <s v="C108"/>
    <x v="0"/>
    <x v="1"/>
    <x v="9"/>
    <n v="5"/>
    <n v="4677"/>
    <n v="23385"/>
  </r>
  <r>
    <n v="1540"/>
    <s v="11-09-2024"/>
    <x v="8"/>
    <s v="C148"/>
    <x v="2"/>
    <x v="1"/>
    <x v="1"/>
    <n v="3"/>
    <n v="4776"/>
    <n v="14328"/>
  </r>
  <r>
    <n v="1449"/>
    <s v="06-08-2024"/>
    <x v="10"/>
    <s v="C260"/>
    <x v="0"/>
    <x v="2"/>
    <x v="17"/>
    <n v="5"/>
    <n v="2643"/>
    <n v="13215"/>
  </r>
  <r>
    <n v="1052"/>
    <s v="03-11-2024"/>
    <x v="5"/>
    <s v="C238"/>
    <x v="3"/>
    <x v="0"/>
    <x v="3"/>
    <n v="3"/>
    <n v="3398"/>
    <n v="10194"/>
  </r>
  <r>
    <n v="1161"/>
    <s v="27-05-2024"/>
    <x v="9"/>
    <s v="C119"/>
    <x v="0"/>
    <x v="1"/>
    <x v="1"/>
    <n v="5"/>
    <n v="664"/>
    <n v="3320"/>
  </r>
  <r>
    <n v="1596"/>
    <s v="29-08-2024"/>
    <x v="10"/>
    <s v="C339"/>
    <x v="2"/>
    <x v="0"/>
    <x v="3"/>
    <n v="4"/>
    <n v="2337"/>
    <n v="9348"/>
  </r>
  <r>
    <n v="1060"/>
    <s v="12-03-2024"/>
    <x v="2"/>
    <s v="C152"/>
    <x v="1"/>
    <x v="0"/>
    <x v="3"/>
    <n v="1"/>
    <n v="4819"/>
    <n v="4819"/>
  </r>
  <r>
    <n v="1036"/>
    <s v="26-06-2024"/>
    <x v="3"/>
    <s v="C118"/>
    <x v="1"/>
    <x v="2"/>
    <x v="8"/>
    <n v="2"/>
    <n v="2416"/>
    <n v="4832"/>
  </r>
  <r>
    <n v="1508"/>
    <s v="16-09-2024"/>
    <x v="8"/>
    <s v="C157"/>
    <x v="3"/>
    <x v="0"/>
    <x v="10"/>
    <n v="2"/>
    <n v="375"/>
    <n v="750"/>
  </r>
  <r>
    <n v="1200"/>
    <s v="30-09-2024"/>
    <x v="8"/>
    <s v="C255"/>
    <x v="3"/>
    <x v="2"/>
    <x v="17"/>
    <n v="4"/>
    <n v="3290"/>
    <n v="13160"/>
  </r>
  <r>
    <n v="1437"/>
    <s v="08-10-2024"/>
    <x v="4"/>
    <s v="C135"/>
    <x v="2"/>
    <x v="3"/>
    <x v="11"/>
    <n v="3"/>
    <n v="1786"/>
    <n v="5358"/>
  </r>
  <r>
    <n v="1243"/>
    <s v="28-04-2024"/>
    <x v="6"/>
    <s v="C123"/>
    <x v="3"/>
    <x v="3"/>
    <x v="12"/>
    <n v="1"/>
    <n v="2247"/>
    <n v="2247"/>
  </r>
  <r>
    <n v="1129"/>
    <s v="12-08-2024"/>
    <x v="10"/>
    <s v="C146"/>
    <x v="2"/>
    <x v="0"/>
    <x v="3"/>
    <n v="5"/>
    <n v="2200"/>
    <n v="11000"/>
  </r>
  <r>
    <n v="1407"/>
    <s v="02-09-2024"/>
    <x v="8"/>
    <s v="C268"/>
    <x v="3"/>
    <x v="3"/>
    <x v="4"/>
    <n v="5"/>
    <n v="1886"/>
    <n v="9430"/>
  </r>
  <r>
    <n v="1365"/>
    <s v="22-04-2024"/>
    <x v="6"/>
    <s v="C213"/>
    <x v="1"/>
    <x v="0"/>
    <x v="13"/>
    <n v="5"/>
    <n v="2391"/>
    <n v="11955"/>
  </r>
  <r>
    <n v="1106"/>
    <s v="28-01-2024"/>
    <x v="0"/>
    <s v="C188"/>
    <x v="3"/>
    <x v="2"/>
    <x v="8"/>
    <n v="1"/>
    <n v="1867"/>
    <n v="1867"/>
  </r>
  <r>
    <n v="1533"/>
    <s v="28-04-2024"/>
    <x v="6"/>
    <s v="C178"/>
    <x v="0"/>
    <x v="1"/>
    <x v="9"/>
    <n v="1"/>
    <n v="2125"/>
    <n v="2125"/>
  </r>
  <r>
    <n v="1464"/>
    <s v="28-02-2024"/>
    <x v="1"/>
    <s v="C105"/>
    <x v="3"/>
    <x v="2"/>
    <x v="17"/>
    <n v="5"/>
    <n v="3347"/>
    <n v="16735"/>
  </r>
  <r>
    <n v="1061"/>
    <s v="22-05-2024"/>
    <x v="9"/>
    <s v="C318"/>
    <x v="0"/>
    <x v="2"/>
    <x v="5"/>
    <n v="4"/>
    <n v="3837"/>
    <n v="15348"/>
  </r>
  <r>
    <n v="1188"/>
    <s v="03-12-2024"/>
    <x v="7"/>
    <s v="C210"/>
    <x v="2"/>
    <x v="3"/>
    <x v="15"/>
    <n v="1"/>
    <n v="2954"/>
    <n v="2954"/>
  </r>
  <r>
    <n v="1221"/>
    <s v="15-01-2024"/>
    <x v="0"/>
    <s v="C187"/>
    <x v="2"/>
    <x v="2"/>
    <x v="5"/>
    <n v="5"/>
    <n v="3379"/>
    <n v="16895"/>
  </r>
  <r>
    <n v="1294"/>
    <s v="30-09-2024"/>
    <x v="8"/>
    <s v="C218"/>
    <x v="0"/>
    <x v="2"/>
    <x v="8"/>
    <n v="4"/>
    <n v="4028"/>
    <n v="16112"/>
  </r>
  <r>
    <n v="1135"/>
    <s v="08-01-2024"/>
    <x v="0"/>
    <s v="C171"/>
    <x v="3"/>
    <x v="0"/>
    <x v="3"/>
    <n v="3"/>
    <n v="4878"/>
    <n v="14634"/>
  </r>
  <r>
    <n v="1370"/>
    <s v="17-05-2024"/>
    <x v="9"/>
    <s v="C268"/>
    <x v="2"/>
    <x v="0"/>
    <x v="19"/>
    <n v="3"/>
    <n v="4856"/>
    <n v="14568"/>
  </r>
  <r>
    <n v="1183"/>
    <s v="15-08-2024"/>
    <x v="10"/>
    <s v="C218"/>
    <x v="1"/>
    <x v="3"/>
    <x v="11"/>
    <n v="1"/>
    <n v="3138"/>
    <n v="3138"/>
  </r>
  <r>
    <n v="1223"/>
    <s v="28-07-2024"/>
    <x v="11"/>
    <s v="C114"/>
    <x v="2"/>
    <x v="3"/>
    <x v="15"/>
    <n v="4"/>
    <n v="1672"/>
    <n v="6688"/>
  </r>
  <r>
    <n v="1265"/>
    <s v="10-09-2024"/>
    <x v="8"/>
    <s v="C132"/>
    <x v="3"/>
    <x v="1"/>
    <x v="16"/>
    <n v="2"/>
    <n v="1137"/>
    <n v="2274"/>
  </r>
  <r>
    <n v="1518"/>
    <s v="13-08-2024"/>
    <x v="10"/>
    <s v="C248"/>
    <x v="3"/>
    <x v="0"/>
    <x v="20"/>
    <n v="3"/>
    <n v="2308"/>
    <n v="6924"/>
  </r>
  <r>
    <n v="1361"/>
    <s v="03-10-2024"/>
    <x v="4"/>
    <s v="C283"/>
    <x v="2"/>
    <x v="3"/>
    <x v="7"/>
    <n v="1"/>
    <n v="834"/>
    <n v="834"/>
  </r>
  <r>
    <n v="1079"/>
    <s v="01-05-2024"/>
    <x v="9"/>
    <s v="C152"/>
    <x v="0"/>
    <x v="0"/>
    <x v="19"/>
    <n v="1"/>
    <n v="3693"/>
    <n v="3693"/>
  </r>
  <r>
    <n v="1334"/>
    <s v="06-11-2024"/>
    <x v="5"/>
    <s v="C301"/>
    <x v="2"/>
    <x v="0"/>
    <x v="13"/>
    <n v="4"/>
    <n v="2608"/>
    <n v="10432"/>
  </r>
  <r>
    <n v="1045"/>
    <s v="28-05-2024"/>
    <x v="9"/>
    <s v="C338"/>
    <x v="2"/>
    <x v="1"/>
    <x v="1"/>
    <n v="5"/>
    <n v="1932"/>
    <n v="9660"/>
  </r>
  <r>
    <n v="1520"/>
    <s v="24-10-2024"/>
    <x v="4"/>
    <s v="C282"/>
    <x v="3"/>
    <x v="0"/>
    <x v="0"/>
    <n v="2"/>
    <n v="3321"/>
    <n v="6642"/>
  </r>
  <r>
    <n v="1079"/>
    <s v="24-04-2024"/>
    <x v="6"/>
    <s v="C244"/>
    <x v="3"/>
    <x v="2"/>
    <x v="8"/>
    <n v="5"/>
    <n v="4069"/>
    <n v="20345"/>
  </r>
  <r>
    <n v="1324"/>
    <s v="17-05-2024"/>
    <x v="9"/>
    <s v="C149"/>
    <x v="1"/>
    <x v="0"/>
    <x v="0"/>
    <n v="3"/>
    <n v="2091"/>
    <n v="6273"/>
  </r>
  <r>
    <n v="1118"/>
    <s v="20-12-2024"/>
    <x v="7"/>
    <s v="C161"/>
    <x v="2"/>
    <x v="2"/>
    <x v="5"/>
    <n v="3"/>
    <n v="4791"/>
    <n v="14373"/>
  </r>
  <r>
    <n v="1495"/>
    <s v="05-11-2024"/>
    <x v="5"/>
    <s v="C158"/>
    <x v="0"/>
    <x v="2"/>
    <x v="5"/>
    <n v="5"/>
    <n v="2206"/>
    <n v="11030"/>
  </r>
  <r>
    <n v="1598"/>
    <s v="06-12-2024"/>
    <x v="7"/>
    <s v="C135"/>
    <x v="2"/>
    <x v="0"/>
    <x v="13"/>
    <n v="1"/>
    <n v="867"/>
    <n v="867"/>
  </r>
  <r>
    <n v="1151"/>
    <s v="21-10-2024"/>
    <x v="4"/>
    <s v="C226"/>
    <x v="3"/>
    <x v="1"/>
    <x v="16"/>
    <n v="2"/>
    <n v="1189"/>
    <n v="2378"/>
  </r>
  <r>
    <n v="1481"/>
    <s v="21-02-2024"/>
    <x v="1"/>
    <s v="C132"/>
    <x v="0"/>
    <x v="3"/>
    <x v="11"/>
    <n v="1"/>
    <n v="1284"/>
    <n v="1284"/>
  </r>
  <r>
    <n v="1397"/>
    <s v="04-08-2024"/>
    <x v="10"/>
    <s v="C190"/>
    <x v="3"/>
    <x v="1"/>
    <x v="6"/>
    <n v="1"/>
    <n v="2959"/>
    <n v="2959"/>
  </r>
  <r>
    <n v="1110"/>
    <s v="24-01-2024"/>
    <x v="0"/>
    <s v="C118"/>
    <x v="1"/>
    <x v="0"/>
    <x v="10"/>
    <n v="4"/>
    <n v="2569"/>
    <n v="10276"/>
  </r>
  <r>
    <n v="1187"/>
    <s v="28-10-2024"/>
    <x v="4"/>
    <s v="C334"/>
    <x v="2"/>
    <x v="3"/>
    <x v="12"/>
    <n v="4"/>
    <n v="3307"/>
    <n v="13228"/>
  </r>
  <r>
    <n v="1286"/>
    <s v="19-02-2024"/>
    <x v="1"/>
    <s v="C159"/>
    <x v="3"/>
    <x v="0"/>
    <x v="10"/>
    <n v="5"/>
    <n v="4440"/>
    <n v="22200"/>
  </r>
  <r>
    <n v="1436"/>
    <s v="26-05-2024"/>
    <x v="9"/>
    <s v="C182"/>
    <x v="0"/>
    <x v="2"/>
    <x v="2"/>
    <n v="1"/>
    <n v="1925"/>
    <n v="1925"/>
  </r>
  <r>
    <n v="1321"/>
    <s v="20-02-2024"/>
    <x v="1"/>
    <s v="C188"/>
    <x v="3"/>
    <x v="0"/>
    <x v="0"/>
    <n v="3"/>
    <n v="4186"/>
    <n v="12558"/>
  </r>
  <r>
    <n v="1295"/>
    <s v="12-05-2024"/>
    <x v="9"/>
    <s v="C255"/>
    <x v="0"/>
    <x v="3"/>
    <x v="12"/>
    <n v="1"/>
    <n v="1894"/>
    <n v="1894"/>
  </r>
  <r>
    <n v="1172"/>
    <s v="15-01-2024"/>
    <x v="0"/>
    <s v="C253"/>
    <x v="3"/>
    <x v="3"/>
    <x v="7"/>
    <n v="4"/>
    <n v="411"/>
    <n v="1644"/>
  </r>
  <r>
    <n v="1584"/>
    <s v="06-08-2024"/>
    <x v="10"/>
    <s v="C287"/>
    <x v="1"/>
    <x v="2"/>
    <x v="8"/>
    <n v="3"/>
    <n v="1097"/>
    <n v="3291"/>
  </r>
  <r>
    <n v="1122"/>
    <s v="15-08-2024"/>
    <x v="10"/>
    <s v="C327"/>
    <x v="2"/>
    <x v="2"/>
    <x v="5"/>
    <n v="2"/>
    <n v="2481"/>
    <n v="4962"/>
  </r>
  <r>
    <n v="1362"/>
    <s v="10-02-2024"/>
    <x v="1"/>
    <s v="C290"/>
    <x v="0"/>
    <x v="1"/>
    <x v="9"/>
    <n v="5"/>
    <n v="2947"/>
    <n v="14735"/>
  </r>
  <r>
    <n v="1525"/>
    <s v="10-12-2024"/>
    <x v="7"/>
    <s v="C298"/>
    <x v="0"/>
    <x v="3"/>
    <x v="15"/>
    <n v="1"/>
    <n v="4470"/>
    <n v="4470"/>
  </r>
  <r>
    <n v="1036"/>
    <s v="20-11-2024"/>
    <x v="5"/>
    <s v="C260"/>
    <x v="0"/>
    <x v="3"/>
    <x v="12"/>
    <n v="2"/>
    <n v="1802"/>
    <n v="3604"/>
  </r>
  <r>
    <n v="1191"/>
    <s v="11-09-2024"/>
    <x v="8"/>
    <s v="C172"/>
    <x v="1"/>
    <x v="1"/>
    <x v="16"/>
    <n v="1"/>
    <n v="3757"/>
    <n v="3757"/>
  </r>
  <r>
    <n v="1213"/>
    <s v="29-12-2024"/>
    <x v="7"/>
    <s v="C145"/>
    <x v="0"/>
    <x v="3"/>
    <x v="11"/>
    <n v="5"/>
    <n v="2122"/>
    <n v="10610"/>
  </r>
  <r>
    <n v="1184"/>
    <s v="02-06-2024"/>
    <x v="3"/>
    <s v="C315"/>
    <x v="1"/>
    <x v="1"/>
    <x v="14"/>
    <n v="4"/>
    <n v="3125"/>
    <n v="12500"/>
  </r>
  <r>
    <n v="1224"/>
    <s v="27-02-2024"/>
    <x v="1"/>
    <s v="C346"/>
    <x v="2"/>
    <x v="0"/>
    <x v="10"/>
    <n v="2"/>
    <n v="3680"/>
    <n v="7360"/>
  </r>
  <r>
    <n v="1326"/>
    <s v="04-12-2024"/>
    <x v="7"/>
    <s v="C129"/>
    <x v="1"/>
    <x v="0"/>
    <x v="10"/>
    <n v="4"/>
    <n v="3575"/>
    <n v="14300"/>
  </r>
  <r>
    <n v="1274"/>
    <s v="16-09-2024"/>
    <x v="8"/>
    <s v="C155"/>
    <x v="3"/>
    <x v="2"/>
    <x v="17"/>
    <n v="3"/>
    <n v="3568"/>
    <n v="10704"/>
  </r>
  <r>
    <n v="1408"/>
    <s v="13-05-2024"/>
    <x v="9"/>
    <s v="C333"/>
    <x v="1"/>
    <x v="3"/>
    <x v="15"/>
    <n v="3"/>
    <n v="573"/>
    <n v="1719"/>
  </r>
  <r>
    <n v="1586"/>
    <s v="26-03-2024"/>
    <x v="2"/>
    <s v="C237"/>
    <x v="0"/>
    <x v="1"/>
    <x v="20"/>
    <n v="5"/>
    <n v="4621"/>
    <n v="23105"/>
  </r>
  <r>
    <n v="1388"/>
    <s v="16-02-2024"/>
    <x v="1"/>
    <s v="C299"/>
    <x v="3"/>
    <x v="0"/>
    <x v="13"/>
    <n v="5"/>
    <n v="1924"/>
    <n v="9620"/>
  </r>
  <r>
    <n v="1160"/>
    <s v="01-10-2024"/>
    <x v="4"/>
    <s v="C201"/>
    <x v="2"/>
    <x v="1"/>
    <x v="14"/>
    <n v="3"/>
    <n v="3586"/>
    <n v="10758"/>
  </r>
  <r>
    <n v="1013"/>
    <s v="19-01-2024"/>
    <x v="0"/>
    <s v="C316"/>
    <x v="0"/>
    <x v="3"/>
    <x v="7"/>
    <n v="4"/>
    <n v="546"/>
    <n v="2184"/>
  </r>
  <r>
    <n v="1235"/>
    <s v="19-11-2024"/>
    <x v="5"/>
    <s v="C297"/>
    <x v="2"/>
    <x v="1"/>
    <x v="9"/>
    <n v="4"/>
    <n v="3482"/>
    <n v="13928"/>
  </r>
  <r>
    <n v="1276"/>
    <s v="13-02-2024"/>
    <x v="1"/>
    <s v="C119"/>
    <x v="3"/>
    <x v="3"/>
    <x v="7"/>
    <n v="1"/>
    <n v="4637"/>
    <n v="4637"/>
  </r>
  <r>
    <n v="1400"/>
    <s v="09-04-2024"/>
    <x v="6"/>
    <s v="C312"/>
    <x v="3"/>
    <x v="0"/>
    <x v="13"/>
    <n v="3"/>
    <n v="2445"/>
    <n v="7335"/>
  </r>
  <r>
    <n v="1590"/>
    <s v="29-08-2024"/>
    <x v="10"/>
    <s v="C196"/>
    <x v="1"/>
    <x v="0"/>
    <x v="10"/>
    <n v="4"/>
    <n v="4795"/>
    <n v="19180"/>
  </r>
  <r>
    <n v="1546"/>
    <s v="16-09-2024"/>
    <x v="8"/>
    <s v="C162"/>
    <x v="0"/>
    <x v="2"/>
    <x v="17"/>
    <n v="3"/>
    <n v="4677"/>
    <n v="14031"/>
  </r>
  <r>
    <n v="1591"/>
    <s v="13-01-2024"/>
    <x v="0"/>
    <s v="C201"/>
    <x v="1"/>
    <x v="1"/>
    <x v="6"/>
    <n v="5"/>
    <n v="1092"/>
    <n v="5460"/>
  </r>
  <r>
    <n v="1085"/>
    <s v="18-02-2024"/>
    <x v="1"/>
    <s v="C243"/>
    <x v="1"/>
    <x v="1"/>
    <x v="16"/>
    <n v="1"/>
    <n v="1357"/>
    <n v="1357"/>
  </r>
  <r>
    <n v="1535"/>
    <s v="17-10-2024"/>
    <x v="4"/>
    <s v="C294"/>
    <x v="3"/>
    <x v="1"/>
    <x v="9"/>
    <n v="4"/>
    <n v="2751"/>
    <n v="11004"/>
  </r>
  <r>
    <n v="1037"/>
    <s v="13-06-2024"/>
    <x v="3"/>
    <s v="C276"/>
    <x v="1"/>
    <x v="2"/>
    <x v="17"/>
    <n v="5"/>
    <n v="4203"/>
    <n v="21015"/>
  </r>
  <r>
    <n v="1241"/>
    <s v="13-06-2024"/>
    <x v="3"/>
    <s v="C218"/>
    <x v="2"/>
    <x v="2"/>
    <x v="8"/>
    <n v="4"/>
    <n v="834"/>
    <n v="3336"/>
  </r>
  <r>
    <n v="1165"/>
    <s v="23-09-2024"/>
    <x v="8"/>
    <s v="C291"/>
    <x v="1"/>
    <x v="3"/>
    <x v="12"/>
    <n v="1"/>
    <n v="519"/>
    <n v="519"/>
  </r>
  <r>
    <n v="1537"/>
    <s v="06-09-2024"/>
    <x v="8"/>
    <s v="C135"/>
    <x v="3"/>
    <x v="2"/>
    <x v="5"/>
    <n v="1"/>
    <n v="3767"/>
    <n v="3767"/>
  </r>
  <r>
    <n v="1277"/>
    <s v="24-09-2024"/>
    <x v="8"/>
    <s v="C182"/>
    <x v="0"/>
    <x v="0"/>
    <x v="19"/>
    <n v="3"/>
    <n v="4486"/>
    <n v="13458"/>
  </r>
  <r>
    <n v="1380"/>
    <s v="22-09-2024"/>
    <x v="8"/>
    <s v="C254"/>
    <x v="1"/>
    <x v="0"/>
    <x v="10"/>
    <n v="3"/>
    <n v="1308"/>
    <n v="3924"/>
  </r>
  <r>
    <n v="1485"/>
    <s v="06-01-2024"/>
    <x v="0"/>
    <s v="C181"/>
    <x v="1"/>
    <x v="2"/>
    <x v="18"/>
    <n v="1"/>
    <n v="245"/>
    <n v="245"/>
  </r>
  <r>
    <n v="1096"/>
    <s v="02-10-2024"/>
    <x v="4"/>
    <s v="C217"/>
    <x v="1"/>
    <x v="0"/>
    <x v="3"/>
    <n v="5"/>
    <n v="1481"/>
    <n v="7405"/>
  </r>
  <r>
    <n v="1231"/>
    <s v="25-06-2024"/>
    <x v="3"/>
    <s v="C260"/>
    <x v="3"/>
    <x v="3"/>
    <x v="12"/>
    <n v="4"/>
    <n v="4987"/>
    <n v="19948"/>
  </r>
  <r>
    <n v="1412"/>
    <s v="10-05-2024"/>
    <x v="9"/>
    <s v="C243"/>
    <x v="2"/>
    <x v="1"/>
    <x v="9"/>
    <n v="2"/>
    <n v="2493"/>
    <n v="4986"/>
  </r>
  <r>
    <n v="1129"/>
    <s v="24-09-2024"/>
    <x v="8"/>
    <s v="C250"/>
    <x v="1"/>
    <x v="2"/>
    <x v="20"/>
    <n v="2"/>
    <n v="1577"/>
    <n v="3154"/>
  </r>
  <r>
    <n v="1221"/>
    <s v="16-02-2024"/>
    <x v="1"/>
    <s v="C337"/>
    <x v="1"/>
    <x v="1"/>
    <x v="16"/>
    <n v="1"/>
    <n v="2848"/>
    <n v="2848"/>
  </r>
  <r>
    <n v="1140"/>
    <s v="18-09-2024"/>
    <x v="8"/>
    <s v="C306"/>
    <x v="2"/>
    <x v="2"/>
    <x v="5"/>
    <n v="3"/>
    <n v="4299"/>
    <n v="12897"/>
  </r>
  <r>
    <n v="1402"/>
    <s v="12-07-2024"/>
    <x v="11"/>
    <s v="C298"/>
    <x v="3"/>
    <x v="2"/>
    <x v="5"/>
    <n v="5"/>
    <n v="2796"/>
    <n v="13980"/>
  </r>
  <r>
    <n v="1219"/>
    <s v="26-03-2024"/>
    <x v="2"/>
    <s v="C342"/>
    <x v="1"/>
    <x v="0"/>
    <x v="0"/>
    <n v="4"/>
    <n v="2252"/>
    <n v="9008"/>
  </r>
  <r>
    <n v="1445"/>
    <s v="29-11-2024"/>
    <x v="5"/>
    <s v="C189"/>
    <x v="1"/>
    <x v="1"/>
    <x v="9"/>
    <n v="3"/>
    <n v="3674"/>
    <n v="11022"/>
  </r>
  <r>
    <n v="1195"/>
    <s v="14-07-2024"/>
    <x v="11"/>
    <s v="C195"/>
    <x v="1"/>
    <x v="1"/>
    <x v="9"/>
    <n v="3"/>
    <n v="4509"/>
    <n v="13527"/>
  </r>
  <r>
    <n v="1336"/>
    <s v="18-02-2024"/>
    <x v="1"/>
    <s v="C333"/>
    <x v="3"/>
    <x v="0"/>
    <x v="13"/>
    <n v="1"/>
    <n v="2452"/>
    <n v="2452"/>
  </r>
  <r>
    <n v="1259"/>
    <s v="20-05-2024"/>
    <x v="9"/>
    <s v="C260"/>
    <x v="1"/>
    <x v="3"/>
    <x v="7"/>
    <n v="5"/>
    <n v="3923"/>
    <n v="19615"/>
  </r>
  <r>
    <n v="1558"/>
    <s v="23-02-2024"/>
    <x v="1"/>
    <s v="C109"/>
    <x v="0"/>
    <x v="0"/>
    <x v="3"/>
    <n v="2"/>
    <n v="878"/>
    <n v="1756"/>
  </r>
  <r>
    <n v="1057"/>
    <s v="15-08-2024"/>
    <x v="10"/>
    <s v="C263"/>
    <x v="3"/>
    <x v="3"/>
    <x v="15"/>
    <n v="2"/>
    <n v="336"/>
    <n v="672"/>
  </r>
  <r>
    <n v="1324"/>
    <s v="29-12-2024"/>
    <x v="7"/>
    <s v="C143"/>
    <x v="0"/>
    <x v="0"/>
    <x v="19"/>
    <n v="4"/>
    <n v="703"/>
    <n v="2812"/>
  </r>
  <r>
    <n v="1513"/>
    <s v="16-03-2024"/>
    <x v="2"/>
    <s v="C286"/>
    <x v="1"/>
    <x v="0"/>
    <x v="3"/>
    <n v="1"/>
    <n v="2457"/>
    <n v="2457"/>
  </r>
  <r>
    <n v="1419"/>
    <s v="29-03-2024"/>
    <x v="2"/>
    <s v="C262"/>
    <x v="2"/>
    <x v="3"/>
    <x v="15"/>
    <n v="1"/>
    <n v="2997"/>
    <n v="2997"/>
  </r>
  <r>
    <n v="1088"/>
    <s v="16-10-2024"/>
    <x v="4"/>
    <s v="C338"/>
    <x v="2"/>
    <x v="2"/>
    <x v="17"/>
    <n v="2"/>
    <n v="907"/>
    <n v="1814"/>
  </r>
  <r>
    <n v="1020"/>
    <s v="27-03-2024"/>
    <x v="2"/>
    <s v="C301"/>
    <x v="1"/>
    <x v="3"/>
    <x v="12"/>
    <n v="1"/>
    <n v="2221"/>
    <n v="2221"/>
  </r>
  <r>
    <n v="1195"/>
    <s v="08-03-2024"/>
    <x v="2"/>
    <s v="C179"/>
    <x v="0"/>
    <x v="3"/>
    <x v="11"/>
    <n v="3"/>
    <n v="1350"/>
    <n v="4050"/>
  </r>
  <r>
    <n v="1192"/>
    <s v="19-05-2024"/>
    <x v="9"/>
    <s v="C326"/>
    <x v="3"/>
    <x v="1"/>
    <x v="16"/>
    <n v="4"/>
    <n v="2367"/>
    <n v="9468"/>
  </r>
  <r>
    <n v="1372"/>
    <s v="27-06-2024"/>
    <x v="3"/>
    <s v="C297"/>
    <x v="0"/>
    <x v="2"/>
    <x v="18"/>
    <n v="2"/>
    <n v="4606"/>
    <n v="9212"/>
  </r>
  <r>
    <n v="1444"/>
    <s v="26-06-2024"/>
    <x v="3"/>
    <s v="C265"/>
    <x v="3"/>
    <x v="0"/>
    <x v="0"/>
    <n v="1"/>
    <n v="4404"/>
    <n v="4404"/>
  </r>
  <r>
    <n v="1478"/>
    <s v="13-05-2024"/>
    <x v="9"/>
    <s v="C108"/>
    <x v="1"/>
    <x v="3"/>
    <x v="7"/>
    <n v="2"/>
    <n v="4027"/>
    <n v="8054"/>
  </r>
  <r>
    <n v="1386"/>
    <s v="03-12-2024"/>
    <x v="7"/>
    <s v="C250"/>
    <x v="2"/>
    <x v="3"/>
    <x v="15"/>
    <n v="1"/>
    <n v="1500"/>
    <n v="1500"/>
  </r>
  <r>
    <n v="1102"/>
    <s v="05-04-2024"/>
    <x v="6"/>
    <s v="C333"/>
    <x v="1"/>
    <x v="0"/>
    <x v="13"/>
    <n v="5"/>
    <n v="1725"/>
    <n v="8625"/>
  </r>
  <r>
    <n v="1467"/>
    <s v="30-10-2024"/>
    <x v="4"/>
    <s v="C247"/>
    <x v="1"/>
    <x v="2"/>
    <x v="5"/>
    <n v="3"/>
    <n v="3257"/>
    <n v="9771"/>
  </r>
  <r>
    <n v="1410"/>
    <s v="02-06-2024"/>
    <x v="3"/>
    <s v="C110"/>
    <x v="0"/>
    <x v="1"/>
    <x v="1"/>
    <n v="4"/>
    <n v="2406"/>
    <n v="9624"/>
  </r>
  <r>
    <n v="1029"/>
    <s v="24-03-2024"/>
    <x v="2"/>
    <s v="C231"/>
    <x v="0"/>
    <x v="1"/>
    <x v="14"/>
    <n v="2"/>
    <n v="2929"/>
    <n v="5858"/>
  </r>
  <r>
    <n v="1092"/>
    <s v="07-06-2024"/>
    <x v="3"/>
    <s v="C302"/>
    <x v="0"/>
    <x v="1"/>
    <x v="20"/>
    <n v="2"/>
    <n v="3973"/>
    <n v="7946"/>
  </r>
  <r>
    <n v="1176"/>
    <s v="03-06-2024"/>
    <x v="3"/>
    <s v="C178"/>
    <x v="1"/>
    <x v="3"/>
    <x v="12"/>
    <n v="4"/>
    <n v="938"/>
    <n v="3752"/>
  </r>
  <r>
    <n v="1568"/>
    <s v="10-07-2024"/>
    <x v="11"/>
    <s v="C101"/>
    <x v="2"/>
    <x v="2"/>
    <x v="18"/>
    <n v="4"/>
    <n v="4704"/>
    <n v="18816"/>
  </r>
  <r>
    <n v="1483"/>
    <s v="08-12-2024"/>
    <x v="7"/>
    <s v="C196"/>
    <x v="0"/>
    <x v="2"/>
    <x v="18"/>
    <n v="2"/>
    <n v="2807"/>
    <n v="5614"/>
  </r>
  <r>
    <n v="1334"/>
    <s v="24-05-2024"/>
    <x v="9"/>
    <s v="C309"/>
    <x v="2"/>
    <x v="2"/>
    <x v="8"/>
    <n v="3"/>
    <n v="4200"/>
    <n v="12600"/>
  </r>
  <r>
    <n v="1027"/>
    <s v="23-04-2024"/>
    <x v="6"/>
    <s v="C326"/>
    <x v="2"/>
    <x v="1"/>
    <x v="16"/>
    <n v="3"/>
    <n v="4307"/>
    <n v="12921"/>
  </r>
  <r>
    <n v="1407"/>
    <s v="09-02-2024"/>
    <x v="1"/>
    <s v="C265"/>
    <x v="1"/>
    <x v="1"/>
    <x v="16"/>
    <n v="1"/>
    <n v="1930"/>
    <n v="1930"/>
  </r>
  <r>
    <n v="1393"/>
    <s v="30-11-2024"/>
    <x v="5"/>
    <s v="C146"/>
    <x v="3"/>
    <x v="2"/>
    <x v="18"/>
    <n v="4"/>
    <n v="4137"/>
    <n v="16548"/>
  </r>
  <r>
    <n v="1431"/>
    <s v="01-04-2024"/>
    <x v="6"/>
    <s v="C141"/>
    <x v="1"/>
    <x v="2"/>
    <x v="8"/>
    <n v="1"/>
    <n v="3036"/>
    <n v="3036"/>
  </r>
  <r>
    <n v="1414"/>
    <s v="07-01-2024"/>
    <x v="0"/>
    <s v="C141"/>
    <x v="1"/>
    <x v="0"/>
    <x v="0"/>
    <n v="1"/>
    <n v="4182"/>
    <n v="4182"/>
  </r>
  <r>
    <n v="1432"/>
    <s v="28-01-2024"/>
    <x v="0"/>
    <s v="C177"/>
    <x v="1"/>
    <x v="2"/>
    <x v="2"/>
    <n v="5"/>
    <n v="3254"/>
    <n v="16270"/>
  </r>
  <r>
    <n v="1547"/>
    <s v="05-07-2024"/>
    <x v="11"/>
    <s v="C128"/>
    <x v="2"/>
    <x v="1"/>
    <x v="6"/>
    <n v="2"/>
    <n v="256"/>
    <n v="512"/>
  </r>
  <r>
    <n v="1264"/>
    <s v="11-04-2024"/>
    <x v="6"/>
    <s v="C231"/>
    <x v="1"/>
    <x v="2"/>
    <x v="5"/>
    <n v="3"/>
    <n v="526"/>
    <n v="1578"/>
  </r>
  <r>
    <n v="1375"/>
    <s v="26-01-2024"/>
    <x v="0"/>
    <s v="C327"/>
    <x v="2"/>
    <x v="0"/>
    <x v="13"/>
    <n v="3"/>
    <n v="392"/>
    <n v="1176"/>
  </r>
  <r>
    <n v="1365"/>
    <s v="01-08-2024"/>
    <x v="10"/>
    <s v="C104"/>
    <x v="3"/>
    <x v="2"/>
    <x v="2"/>
    <n v="5"/>
    <n v="1114"/>
    <n v="5570"/>
  </r>
  <r>
    <n v="1405"/>
    <s v="07-05-2024"/>
    <x v="9"/>
    <s v="C144"/>
    <x v="0"/>
    <x v="3"/>
    <x v="7"/>
    <n v="2"/>
    <n v="4242"/>
    <n v="8484"/>
  </r>
  <r>
    <n v="1469"/>
    <s v="18-12-2024"/>
    <x v="7"/>
    <s v="C258"/>
    <x v="3"/>
    <x v="1"/>
    <x v="1"/>
    <n v="1"/>
    <n v="2875"/>
    <n v="2875"/>
  </r>
  <r>
    <n v="1103"/>
    <s v="14-07-2024"/>
    <x v="11"/>
    <s v="C231"/>
    <x v="0"/>
    <x v="3"/>
    <x v="15"/>
    <n v="4"/>
    <n v="383"/>
    <n v="1532"/>
  </r>
  <r>
    <n v="1081"/>
    <s v="09-08-2024"/>
    <x v="10"/>
    <s v="C347"/>
    <x v="3"/>
    <x v="3"/>
    <x v="12"/>
    <n v="5"/>
    <n v="4411"/>
    <n v="22055"/>
  </r>
  <r>
    <n v="1050"/>
    <s v="10-07-2024"/>
    <x v="11"/>
    <s v="C246"/>
    <x v="3"/>
    <x v="2"/>
    <x v="18"/>
    <n v="2"/>
    <n v="2467"/>
    <n v="4934"/>
  </r>
  <r>
    <n v="1408"/>
    <s v="02-04-2024"/>
    <x v="6"/>
    <s v="C273"/>
    <x v="0"/>
    <x v="0"/>
    <x v="13"/>
    <n v="2"/>
    <n v="353"/>
    <n v="706"/>
  </r>
  <r>
    <n v="1281"/>
    <s v="16-05-2024"/>
    <x v="9"/>
    <s v="C218"/>
    <x v="1"/>
    <x v="0"/>
    <x v="3"/>
    <n v="1"/>
    <n v="2859"/>
    <n v="2859"/>
  </r>
  <r>
    <n v="1471"/>
    <s v="28-10-2024"/>
    <x v="4"/>
    <s v="C207"/>
    <x v="1"/>
    <x v="0"/>
    <x v="19"/>
    <n v="5"/>
    <n v="302"/>
    <n v="1510"/>
  </r>
  <r>
    <n v="1455"/>
    <s v="18-03-2024"/>
    <x v="2"/>
    <s v="C218"/>
    <x v="0"/>
    <x v="2"/>
    <x v="18"/>
    <n v="3"/>
    <n v="3500"/>
    <n v="10500"/>
  </r>
  <r>
    <n v="1080"/>
    <s v="19-11-2024"/>
    <x v="5"/>
    <s v="C224"/>
    <x v="2"/>
    <x v="0"/>
    <x v="3"/>
    <n v="3"/>
    <n v="2590"/>
    <n v="7770"/>
  </r>
  <r>
    <n v="1478"/>
    <s v="16-01-2024"/>
    <x v="0"/>
    <s v="C139"/>
    <x v="0"/>
    <x v="1"/>
    <x v="1"/>
    <n v="4"/>
    <n v="391"/>
    <n v="1564"/>
  </r>
  <r>
    <n v="1502"/>
    <s v="30-04-2024"/>
    <x v="6"/>
    <s v="C196"/>
    <x v="2"/>
    <x v="1"/>
    <x v="6"/>
    <n v="4"/>
    <n v="1988"/>
    <n v="7952"/>
  </r>
  <r>
    <n v="1296"/>
    <s v="01-04-2024"/>
    <x v="6"/>
    <s v="C321"/>
    <x v="2"/>
    <x v="1"/>
    <x v="6"/>
    <n v="2"/>
    <n v="3625"/>
    <n v="7250"/>
  </r>
  <r>
    <n v="1371"/>
    <s v="18-11-2024"/>
    <x v="5"/>
    <s v="C127"/>
    <x v="1"/>
    <x v="0"/>
    <x v="19"/>
    <n v="4"/>
    <n v="4253"/>
    <n v="17012"/>
  </r>
  <r>
    <n v="1460"/>
    <s v="21-03-2024"/>
    <x v="2"/>
    <s v="C336"/>
    <x v="3"/>
    <x v="1"/>
    <x v="6"/>
    <n v="5"/>
    <n v="2936"/>
    <n v="14680"/>
  </r>
  <r>
    <n v="1100"/>
    <s v="15-07-2024"/>
    <x v="11"/>
    <s v="C248"/>
    <x v="1"/>
    <x v="2"/>
    <x v="5"/>
    <n v="1"/>
    <n v="2036"/>
    <n v="2036"/>
  </r>
  <r>
    <n v="1082"/>
    <s v="02-11-2024"/>
    <x v="5"/>
    <s v="C246"/>
    <x v="1"/>
    <x v="2"/>
    <x v="17"/>
    <n v="2"/>
    <n v="4863"/>
    <n v="9726"/>
  </r>
  <r>
    <n v="1379"/>
    <s v="12-01-2024"/>
    <x v="0"/>
    <s v="C290"/>
    <x v="0"/>
    <x v="2"/>
    <x v="8"/>
    <n v="4"/>
    <n v="3223"/>
    <n v="12892"/>
  </r>
  <r>
    <n v="1483"/>
    <s v="30-12-2024"/>
    <x v="7"/>
    <s v="C335"/>
    <x v="3"/>
    <x v="1"/>
    <x v="14"/>
    <n v="1"/>
    <n v="453"/>
    <n v="453"/>
  </r>
  <r>
    <n v="1250"/>
    <s v="16-12-2024"/>
    <x v="7"/>
    <s v="C254"/>
    <x v="1"/>
    <x v="2"/>
    <x v="18"/>
    <n v="5"/>
    <n v="1110"/>
    <n v="5550"/>
  </r>
  <r>
    <n v="1163"/>
    <s v="05-05-2024"/>
    <x v="9"/>
    <s v="C218"/>
    <x v="0"/>
    <x v="3"/>
    <x v="4"/>
    <n v="5"/>
    <n v="4051"/>
    <n v="20255"/>
  </r>
  <r>
    <n v="1427"/>
    <s v="13-05-2024"/>
    <x v="9"/>
    <s v="C326"/>
    <x v="1"/>
    <x v="3"/>
    <x v="7"/>
    <n v="4"/>
    <n v="689"/>
    <n v="2756"/>
  </r>
  <r>
    <n v="1040"/>
    <s v="05-07-2024"/>
    <x v="11"/>
    <s v="C202"/>
    <x v="2"/>
    <x v="2"/>
    <x v="5"/>
    <n v="2"/>
    <n v="2350"/>
    <n v="4700"/>
  </r>
  <r>
    <n v="1114"/>
    <s v="27-03-2024"/>
    <x v="2"/>
    <s v="C193"/>
    <x v="1"/>
    <x v="2"/>
    <x v="2"/>
    <n v="4"/>
    <n v="1921"/>
    <n v="7684"/>
  </r>
  <r>
    <n v="1075"/>
    <s v="22-08-2024"/>
    <x v="10"/>
    <s v="C330"/>
    <x v="2"/>
    <x v="2"/>
    <x v="18"/>
    <n v="3"/>
    <n v="3842"/>
    <n v="11526"/>
  </r>
  <r>
    <n v="1264"/>
    <s v="17-10-2024"/>
    <x v="4"/>
    <s v="C170"/>
    <x v="3"/>
    <x v="3"/>
    <x v="12"/>
    <n v="1"/>
    <n v="2010"/>
    <n v="2010"/>
  </r>
  <r>
    <n v="1298"/>
    <s v="06-06-2024"/>
    <x v="3"/>
    <s v="C341"/>
    <x v="1"/>
    <x v="1"/>
    <x v="1"/>
    <n v="4"/>
    <n v="2615"/>
    <n v="10460"/>
  </r>
  <r>
    <n v="1131"/>
    <s v="16-03-2024"/>
    <x v="2"/>
    <s v="C255"/>
    <x v="1"/>
    <x v="0"/>
    <x v="10"/>
    <n v="1"/>
    <n v="1933"/>
    <n v="1933"/>
  </r>
  <r>
    <n v="1012"/>
    <s v="12-05-2024"/>
    <x v="9"/>
    <s v="C193"/>
    <x v="2"/>
    <x v="2"/>
    <x v="5"/>
    <n v="2"/>
    <n v="4304"/>
    <n v="8608"/>
  </r>
  <r>
    <n v="1496"/>
    <s v="27-11-2024"/>
    <x v="5"/>
    <s v="C143"/>
    <x v="0"/>
    <x v="2"/>
    <x v="18"/>
    <n v="1"/>
    <n v="730"/>
    <n v="730"/>
  </r>
  <r>
    <n v="1229"/>
    <s v="17-03-2024"/>
    <x v="2"/>
    <s v="C171"/>
    <x v="1"/>
    <x v="3"/>
    <x v="12"/>
    <n v="4"/>
    <n v="4864"/>
    <n v="19456"/>
  </r>
  <r>
    <n v="1536"/>
    <s v="26-04-2024"/>
    <x v="6"/>
    <s v="C289"/>
    <x v="0"/>
    <x v="1"/>
    <x v="14"/>
    <n v="1"/>
    <n v="2899"/>
    <n v="2899"/>
  </r>
  <r>
    <n v="1547"/>
    <s v="02-10-2024"/>
    <x v="4"/>
    <s v="C323"/>
    <x v="1"/>
    <x v="3"/>
    <x v="4"/>
    <n v="2"/>
    <n v="2297"/>
    <n v="4594"/>
  </r>
  <r>
    <n v="1250"/>
    <s v="26-04-2024"/>
    <x v="6"/>
    <s v="C276"/>
    <x v="3"/>
    <x v="2"/>
    <x v="18"/>
    <n v="5"/>
    <n v="2473"/>
    <n v="12365"/>
  </r>
  <r>
    <n v="1065"/>
    <s v="08-03-2024"/>
    <x v="2"/>
    <s v="C233"/>
    <x v="1"/>
    <x v="0"/>
    <x v="3"/>
    <n v="2"/>
    <n v="4997"/>
    <n v="9994"/>
  </r>
  <r>
    <n v="1100"/>
    <s v="01-10-2024"/>
    <x v="4"/>
    <s v="C325"/>
    <x v="1"/>
    <x v="3"/>
    <x v="15"/>
    <n v="4"/>
    <n v="1153"/>
    <n v="4612"/>
  </r>
  <r>
    <n v="1102"/>
    <s v="04-10-2024"/>
    <x v="4"/>
    <s v="C250"/>
    <x v="3"/>
    <x v="1"/>
    <x v="1"/>
    <n v="5"/>
    <n v="278"/>
    <n v="1390"/>
  </r>
  <r>
    <n v="1114"/>
    <s v="14-08-2024"/>
    <x v="10"/>
    <s v="C299"/>
    <x v="3"/>
    <x v="1"/>
    <x v="1"/>
    <n v="3"/>
    <n v="3535"/>
    <n v="106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AF88F-CA7C-4B1F-9D37-62DE7DC9259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8" firstHeaderRow="1" firstDataRow="1" firstDataCol="1"/>
  <pivotFields count="10">
    <pivotField showAll="0"/>
    <pivotField showAll="0"/>
    <pivotField showAll="0">
      <items count="13">
        <item x="0"/>
        <item x="1"/>
        <item x="2"/>
        <item x="6"/>
        <item x="9"/>
        <item x="3"/>
        <item x="11"/>
        <item x="10"/>
        <item x="8"/>
        <item x="4"/>
        <item x="5"/>
        <item x="7"/>
        <item t="default"/>
      </items>
    </pivotField>
    <pivotField showAll="0"/>
    <pivotField axis="axisRow" showAll="0" sortType="descending">
      <items count="7">
        <item m="1" x="5"/>
        <item x="0"/>
        <item x="3"/>
        <item x="2"/>
        <item x="1"/>
        <item x="4"/>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pivotField showAll="0"/>
    <pivotField dataField="1" showAll="0"/>
  </pivotFields>
  <rowFields count="1">
    <field x="4"/>
  </rowFields>
  <rowItems count="5">
    <i>
      <x v="1"/>
    </i>
    <i>
      <x v="3"/>
    </i>
    <i>
      <x v="4"/>
    </i>
    <i>
      <x v="2"/>
    </i>
    <i>
      <x v="5"/>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CCFEDC-0235-431E-9742-D080DE3CEEB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B7" firstHeaderRow="1" firstDataRow="1" firstDataCol="1"/>
  <pivotFields count="10">
    <pivotField showAll="0"/>
    <pivotField showAll="0"/>
    <pivotField showAll="0">
      <items count="13">
        <item x="0"/>
        <item x="1"/>
        <item x="2"/>
        <item x="6"/>
        <item x="9"/>
        <item x="3"/>
        <item x="11"/>
        <item x="10"/>
        <item x="8"/>
        <item x="4"/>
        <item x="5"/>
        <item x="7"/>
        <item t="default"/>
      </items>
    </pivotField>
    <pivotField showAll="0"/>
    <pivotField showAll="0">
      <items count="7">
        <item m="1" x="5"/>
        <item x="0"/>
        <item x="3"/>
        <item x="2"/>
        <item x="4"/>
        <item x="1"/>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5"/>
  </rowFields>
  <rowItems count="4">
    <i>
      <x v="1"/>
    </i>
    <i>
      <x v="3"/>
    </i>
    <i>
      <x/>
    </i>
    <i>
      <x v="2"/>
    </i>
  </rowItems>
  <colItems count="1">
    <i/>
  </colItems>
  <dataFields count="1">
    <dataField name="Sum of Revenue" fld="9" baseField="0" baseItem="0"/>
  </dataField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5" count="1" selected="0">
            <x v="1"/>
          </reference>
        </references>
      </pivotArea>
    </chartFormat>
    <chartFormat chart="3" format="2">
      <pivotArea type="data" outline="0" fieldPosition="0">
        <references count="2">
          <reference field="4294967294" count="1" selected="0">
            <x v="0"/>
          </reference>
          <reference field="5" count="1" selected="0">
            <x v="2"/>
          </reference>
        </references>
      </pivotArea>
    </chartFormat>
    <chartFormat chart="3" format="3">
      <pivotArea type="data" outline="0" fieldPosition="0">
        <references count="2">
          <reference field="4294967294" count="1" selected="0">
            <x v="0"/>
          </reference>
          <reference field="5" count="1" selected="0">
            <x v="0"/>
          </reference>
        </references>
      </pivotArea>
    </chartFormat>
    <chartFormat chart="3" format="4">
      <pivotArea type="data" outline="0" fieldPosition="0">
        <references count="2">
          <reference field="4294967294" count="1" selected="0">
            <x v="0"/>
          </reference>
          <reference field="5"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5" count="1" selected="0">
            <x v="1"/>
          </reference>
        </references>
      </pivotArea>
    </chartFormat>
    <chartFormat chart="10" format="12">
      <pivotArea type="data" outline="0" fieldPosition="0">
        <references count="2">
          <reference field="4294967294" count="1" selected="0">
            <x v="0"/>
          </reference>
          <reference field="5" count="1" selected="0">
            <x v="3"/>
          </reference>
        </references>
      </pivotArea>
    </chartFormat>
    <chartFormat chart="10" format="13">
      <pivotArea type="data" outline="0" fieldPosition="0">
        <references count="2">
          <reference field="4294967294" count="1" selected="0">
            <x v="0"/>
          </reference>
          <reference field="5" count="1" selected="0">
            <x v="0"/>
          </reference>
        </references>
      </pivotArea>
    </chartFormat>
    <chartFormat chart="10" format="1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7D1998-56F6-4F12-8582-DCAE2D5DB54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10">
    <pivotField showAll="0"/>
    <pivotField showAll="0"/>
    <pivotField showAll="0">
      <items count="13">
        <item x="0"/>
        <item x="1"/>
        <item x="2"/>
        <item x="6"/>
        <item x="9"/>
        <item x="3"/>
        <item x="11"/>
        <item x="10"/>
        <item x="8"/>
        <item x="4"/>
        <item x="5"/>
        <item x="7"/>
        <item t="default"/>
      </items>
    </pivotField>
    <pivotField showAll="0"/>
    <pivotField showAll="0">
      <items count="7">
        <item m="1" x="5"/>
        <item x="0"/>
        <item x="3"/>
        <item x="2"/>
        <item x="4"/>
        <item x="1"/>
        <item t="default"/>
      </items>
    </pivotField>
    <pivotField showAll="0">
      <items count="5">
        <item x="1"/>
        <item x="3"/>
        <item x="0"/>
        <item x="2"/>
        <item t="default"/>
      </items>
    </pivotField>
    <pivotField axis="axisRow" showAll="0" measureFilter="1" sortType="descending">
      <items count="22">
        <item x="19"/>
        <item x="13"/>
        <item x="18"/>
        <item x="5"/>
        <item x="17"/>
        <item x="4"/>
        <item x="6"/>
        <item x="14"/>
        <item x="16"/>
        <item x="15"/>
        <item x="0"/>
        <item x="3"/>
        <item x="11"/>
        <item x="12"/>
        <item x="8"/>
        <item x="1"/>
        <item x="10"/>
        <item x="9"/>
        <item x="20"/>
        <item x="7"/>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6"/>
  </rowFields>
  <rowItems count="5">
    <i>
      <x v="4"/>
    </i>
    <i>
      <x v="13"/>
    </i>
    <i>
      <x v="2"/>
    </i>
    <i>
      <x v="5"/>
    </i>
    <i>
      <x/>
    </i>
  </rowItems>
  <colItems count="1">
    <i/>
  </colItems>
  <dataFields count="1">
    <dataField name="Sum of Revenue" fld="9"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1A81BC-70AD-4B3E-B49D-58340E464C0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15" firstHeaderRow="1" firstDataRow="1" firstDataCol="1"/>
  <pivotFields count="10">
    <pivotField showAll="0"/>
    <pivotField showAll="0"/>
    <pivotField axis="axisRow" showAll="0">
      <items count="13">
        <item x="0"/>
        <item x="1"/>
        <item x="2"/>
        <item x="6"/>
        <item x="9"/>
        <item x="3"/>
        <item x="11"/>
        <item x="10"/>
        <item x="8"/>
        <item x="4"/>
        <item x="5"/>
        <item x="7"/>
        <item t="default"/>
      </items>
    </pivotField>
    <pivotField showAll="0"/>
    <pivotField showAll="0">
      <items count="7">
        <item m="1" x="5"/>
        <item x="0"/>
        <item x="3"/>
        <item x="2"/>
        <item x="4"/>
        <item x="1"/>
        <item t="default"/>
      </items>
    </pivotField>
    <pivotField showAll="0">
      <items count="5">
        <item x="1"/>
        <item x="3"/>
        <item x="0"/>
        <item x="2"/>
        <item t="default"/>
      </items>
    </pivotField>
    <pivotField showAll="0"/>
    <pivotField showAll="0"/>
    <pivotField showAll="0"/>
    <pivotField dataField="1" showAll="0"/>
  </pivotFields>
  <rowFields count="1">
    <field x="2"/>
  </rowFields>
  <rowItems count="12">
    <i>
      <x/>
    </i>
    <i>
      <x v="1"/>
    </i>
    <i>
      <x v="2"/>
    </i>
    <i>
      <x v="3"/>
    </i>
    <i>
      <x v="4"/>
    </i>
    <i>
      <x v="5"/>
    </i>
    <i>
      <x v="6"/>
    </i>
    <i>
      <x v="7"/>
    </i>
    <i>
      <x v="8"/>
    </i>
    <i>
      <x v="9"/>
    </i>
    <i>
      <x v="10"/>
    </i>
    <i>
      <x v="11"/>
    </i>
  </rowItems>
  <colItems count="1">
    <i/>
  </colItems>
  <dataFields count="1">
    <dataField name="Sum of Revenue" fld="9"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 count="1" selected="0">
            <x v="8"/>
          </reference>
        </references>
      </pivotArea>
    </chartFormat>
    <chartFormat chart="4" format="4">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3286DF6-ED57-4703-9A91-88E8DE878634}" sourceName="Region">
  <pivotTables>
    <pivotTable tabId="8" name="PivotTable4"/>
    <pivotTable tabId="6" name="PivotTable2"/>
    <pivotTable tabId="7" name="PivotTable3"/>
    <pivotTable tabId="5" name="PivotTable1"/>
  </pivotTables>
  <data>
    <tabular pivotCacheId="824354190">
      <items count="6">
        <i x="0" s="1"/>
        <i x="3" s="1"/>
        <i x="2" s="1"/>
        <i x="4" s="1"/>
        <i x="1"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344812-96C8-4F6B-B231-4E0D4A6360AF}" sourceName="Category">
  <pivotTables>
    <pivotTable tabId="8" name="PivotTable4"/>
    <pivotTable tabId="6" name="PivotTable2"/>
    <pivotTable tabId="7" name="PivotTable3"/>
    <pivotTable tabId="5" name="PivotTable1"/>
  </pivotTables>
  <data>
    <tabular pivotCacheId="824354190">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2A8561F-03FE-4D63-AAEE-6D80EB8EFB7E}" sourceName="Month">
  <pivotTables>
    <pivotTable tabId="8" name="PivotTable4"/>
    <pivotTable tabId="6" name="PivotTable2"/>
    <pivotTable tabId="7" name="PivotTable3"/>
    <pivotTable tabId="5" name="PivotTable1"/>
  </pivotTables>
  <data>
    <tabular pivotCacheId="824354190">
      <items count="12">
        <i x="0" s="1"/>
        <i x="1" s="1"/>
        <i x="2" s="1"/>
        <i x="6" s="1"/>
        <i x="9" s="1"/>
        <i x="3" s="1"/>
        <i x="11" s="1"/>
        <i x="10" s="1"/>
        <i x="8" s="1"/>
        <i x="4"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10A5A84-B595-40AD-8C57-26D643F74678}" cache="Slicer_Region" caption="Region" rowHeight="234950"/>
  <slicer name="Category" xr10:uid="{F80237EE-4612-48EB-A345-3E5AAC64553A}" cache="Slicer_Category" caption="Category" rowHeight="234950"/>
  <slicer name="Month" xr10:uid="{186D2EF5-C318-449B-9240-C7FE8E69CBC4}"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674D16-1916-48C9-9D42-B26CB333A4DA}" name="Table2" displayName="Table2" ref="A1:I1201" totalsRowShown="0" headerRowDxfId="2" headerRowBorderDxfId="1" tableBorderDxfId="0">
  <autoFilter ref="A1:I1201" xr:uid="{EA674D16-1916-48C9-9D42-B26CB333A4DA}"/>
  <tableColumns count="9">
    <tableColumn id="1" xr3:uid="{78DECD23-E5E0-4099-8093-F1DAD24E020D}" name="Order_ID"/>
    <tableColumn id="2" xr3:uid="{369C9F3E-D5B6-43BA-BC5A-3A1C2D094F38}" name="Order_Date"/>
    <tableColumn id="3" xr3:uid="{54829559-B5B1-4A17-9C6F-41EA33967381}" name="Customer_ID"/>
    <tableColumn id="4" xr3:uid="{88B0BAA9-0A86-448F-A346-508DFCEE6BB7}" name="Region"/>
    <tableColumn id="5" xr3:uid="{8C177350-BD9B-4D62-BE03-75A867C334EC}" name="Category"/>
    <tableColumn id="6" xr3:uid="{803EF121-F0B8-43B2-B1B2-36581BEA91F4}" name="Product"/>
    <tableColumn id="7" xr3:uid="{096E36BC-FCCD-437D-A1E4-E6983D4796DE}" name="Quantity"/>
    <tableColumn id="8" xr3:uid="{B3286722-C8C4-48CD-926A-CCC18A3642CF}" name="Price"/>
    <tableColumn id="9" xr3:uid="{520D8A6C-917C-4377-AD70-09365C48B422}" name="Revenu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5DF1D0-26B6-4FA0-9804-835A8BE9AB6A}" name="Sales" displayName="Sales" ref="A1:J1201" totalsRowShown="0" headerRowDxfId="6" headerRowBorderDxfId="5" tableBorderDxfId="4">
  <autoFilter ref="A1:J1201" xr:uid="{A15DF1D0-26B6-4FA0-9804-835A8BE9AB6A}"/>
  <tableColumns count="10">
    <tableColumn id="1" xr3:uid="{472383AF-9A5A-4550-B243-F3F2CC192103}" name="Order_ID"/>
    <tableColumn id="2" xr3:uid="{99185C60-7BCD-4AA0-91EA-04AC26AB03FD}" name="Order_Date"/>
    <tableColumn id="10" xr3:uid="{8D166B2E-3097-4C0C-967D-ECE288C9F69B}" name="Month" dataDxfId="3">
      <calculatedColumnFormula>TEXT(Sales[[#This Row],[Order_Date]],"mmm")</calculatedColumnFormula>
    </tableColumn>
    <tableColumn id="3" xr3:uid="{76193E73-3155-4AB9-9DC1-17601CE50FFD}" name="Customer_ID"/>
    <tableColumn id="4" xr3:uid="{BF0584C3-156F-40DB-9BCD-CCD185E2BBC8}" name="Region"/>
    <tableColumn id="5" xr3:uid="{65D38318-1985-49E8-8EAA-49CDA081FC45}" name="Category"/>
    <tableColumn id="6" xr3:uid="{DA6D2D7F-D4D5-4242-81F5-89AB8FDD928A}" name="Product"/>
    <tableColumn id="7" xr3:uid="{85AAACCE-5FD4-4EBF-869D-69C528DDA38B}" name="Quantity"/>
    <tableColumn id="8" xr3:uid="{9C4A6711-7952-4575-A8FA-CA678236FF2E}" name="Price"/>
    <tableColumn id="9" xr3:uid="{BE18C7D2-003B-4BA9-B172-7702FBB434C2}" name="Revenu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C06B-CE17-4DAC-BA62-453F453F967D}">
  <dimension ref="A1:I1201"/>
  <sheetViews>
    <sheetView zoomScale="120" zoomScaleNormal="120" workbookViewId="0">
      <selection activeCell="K11" sqref="K11"/>
    </sheetView>
  </sheetViews>
  <sheetFormatPr defaultRowHeight="14.4" x14ac:dyDescent="0.3"/>
  <cols>
    <col min="1" max="1" width="13" bestFit="1" customWidth="1"/>
    <col min="2" max="2" width="15.109375" bestFit="1" customWidth="1"/>
    <col min="3" max="3" width="16.33203125" bestFit="1" customWidth="1"/>
    <col min="4" max="4" width="11.21875" bestFit="1" customWidth="1"/>
    <col min="5" max="5" width="13" bestFit="1" customWidth="1"/>
    <col min="6" max="6" width="12.21875" bestFit="1" customWidth="1"/>
    <col min="7" max="7" width="12.77734375" bestFit="1" customWidth="1"/>
    <col min="8" max="8" width="9.5546875" bestFit="1" customWidth="1"/>
    <col min="9" max="9" width="10.21875" customWidth="1"/>
  </cols>
  <sheetData>
    <row r="1" spans="1:9" x14ac:dyDescent="0.3">
      <c r="A1" s="1" t="s">
        <v>0</v>
      </c>
      <c r="B1" s="1" t="s">
        <v>1</v>
      </c>
      <c r="C1" s="1" t="s">
        <v>2</v>
      </c>
      <c r="D1" s="1" t="s">
        <v>3</v>
      </c>
      <c r="E1" s="1" t="s">
        <v>4</v>
      </c>
      <c r="F1" s="1" t="s">
        <v>5</v>
      </c>
      <c r="G1" s="1" t="s">
        <v>6</v>
      </c>
      <c r="H1" s="1" t="s">
        <v>7</v>
      </c>
      <c r="I1" s="1" t="s">
        <v>8</v>
      </c>
    </row>
    <row r="2" spans="1:9" x14ac:dyDescent="0.3">
      <c r="A2">
        <v>1114</v>
      </c>
      <c r="B2" t="s">
        <v>9</v>
      </c>
      <c r="C2" t="s">
        <v>10</v>
      </c>
      <c r="D2" t="s">
        <v>11</v>
      </c>
      <c r="E2" t="s">
        <v>12</v>
      </c>
      <c r="F2" t="s">
        <v>13</v>
      </c>
      <c r="G2">
        <v>1</v>
      </c>
      <c r="H2">
        <v>4667</v>
      </c>
      <c r="I2">
        <v>4667</v>
      </c>
    </row>
    <row r="3" spans="1:9" x14ac:dyDescent="0.3">
      <c r="A3">
        <v>1030</v>
      </c>
      <c r="B3" t="s">
        <v>14</v>
      </c>
      <c r="C3" t="s">
        <v>15</v>
      </c>
      <c r="D3" t="s">
        <v>16</v>
      </c>
      <c r="E3" t="s">
        <v>17</v>
      </c>
      <c r="F3" t="s">
        <v>18</v>
      </c>
      <c r="G3">
        <v>5</v>
      </c>
      <c r="H3">
        <v>3636</v>
      </c>
      <c r="I3">
        <v>18180</v>
      </c>
    </row>
    <row r="4" spans="1:9" x14ac:dyDescent="0.3">
      <c r="A4">
        <v>1006</v>
      </c>
      <c r="B4" t="s">
        <v>19</v>
      </c>
      <c r="C4" t="s">
        <v>20</v>
      </c>
      <c r="D4" t="s">
        <v>11</v>
      </c>
      <c r="E4" t="s">
        <v>21</v>
      </c>
      <c r="F4" t="s">
        <v>22</v>
      </c>
      <c r="G4">
        <v>2</v>
      </c>
      <c r="H4">
        <v>2957</v>
      </c>
      <c r="I4">
        <v>5914</v>
      </c>
    </row>
    <row r="5" spans="1:9" x14ac:dyDescent="0.3">
      <c r="A5">
        <v>1367</v>
      </c>
      <c r="B5" t="s">
        <v>23</v>
      </c>
      <c r="C5" t="s">
        <v>24</v>
      </c>
      <c r="D5" t="s">
        <v>25</v>
      </c>
      <c r="E5" t="s">
        <v>26</v>
      </c>
      <c r="F5" t="s">
        <v>27</v>
      </c>
      <c r="G5">
        <v>4</v>
      </c>
      <c r="H5">
        <v>845</v>
      </c>
      <c r="I5">
        <v>3380</v>
      </c>
    </row>
    <row r="6" spans="1:9" x14ac:dyDescent="0.3">
      <c r="A6">
        <v>1370</v>
      </c>
      <c r="B6" t="s">
        <v>28</v>
      </c>
      <c r="C6" t="s">
        <v>29</v>
      </c>
      <c r="D6" t="s">
        <v>30</v>
      </c>
      <c r="E6" t="s">
        <v>31</v>
      </c>
      <c r="F6" t="s">
        <v>32</v>
      </c>
      <c r="G6">
        <v>1</v>
      </c>
      <c r="H6">
        <v>2107</v>
      </c>
      <c r="I6">
        <v>2107</v>
      </c>
    </row>
    <row r="7" spans="1:9" x14ac:dyDescent="0.3">
      <c r="A7">
        <v>1464</v>
      </c>
      <c r="B7" t="s">
        <v>33</v>
      </c>
      <c r="C7" t="s">
        <v>34</v>
      </c>
      <c r="D7" t="s">
        <v>35</v>
      </c>
      <c r="E7" t="s">
        <v>36</v>
      </c>
      <c r="F7" t="s">
        <v>13</v>
      </c>
      <c r="G7">
        <v>2</v>
      </c>
      <c r="H7">
        <v>2387</v>
      </c>
      <c r="I7">
        <v>4774</v>
      </c>
    </row>
    <row r="8" spans="1:9" x14ac:dyDescent="0.3">
      <c r="A8">
        <v>1073</v>
      </c>
      <c r="B8" t="s">
        <v>37</v>
      </c>
      <c r="C8" t="s">
        <v>38</v>
      </c>
      <c r="D8" t="s">
        <v>11</v>
      </c>
      <c r="E8" t="s">
        <v>39</v>
      </c>
      <c r="F8" t="s">
        <v>18</v>
      </c>
      <c r="G8">
        <v>4</v>
      </c>
      <c r="H8">
        <v>3308</v>
      </c>
      <c r="I8">
        <v>13232</v>
      </c>
    </row>
    <row r="9" spans="1:9" x14ac:dyDescent="0.3">
      <c r="A9">
        <v>1570</v>
      </c>
      <c r="B9" t="s">
        <v>40</v>
      </c>
      <c r="C9" t="s">
        <v>41</v>
      </c>
      <c r="D9" t="s">
        <v>42</v>
      </c>
      <c r="E9" t="s">
        <v>12</v>
      </c>
      <c r="F9" t="s">
        <v>27</v>
      </c>
      <c r="G9">
        <v>3</v>
      </c>
      <c r="H9">
        <v>3486</v>
      </c>
      <c r="I9">
        <v>10458</v>
      </c>
    </row>
    <row r="10" spans="1:9" x14ac:dyDescent="0.3">
      <c r="A10">
        <v>1580</v>
      </c>
      <c r="B10" t="s">
        <v>43</v>
      </c>
      <c r="C10" t="s">
        <v>44</v>
      </c>
      <c r="D10" t="s">
        <v>11</v>
      </c>
      <c r="E10" t="s">
        <v>45</v>
      </c>
      <c r="F10" t="s">
        <v>46</v>
      </c>
      <c r="G10">
        <v>3</v>
      </c>
      <c r="H10">
        <v>1343</v>
      </c>
      <c r="I10">
        <v>4029</v>
      </c>
    </row>
    <row r="11" spans="1:9" x14ac:dyDescent="0.3">
      <c r="A11">
        <v>1269</v>
      </c>
      <c r="B11" t="s">
        <v>47</v>
      </c>
      <c r="C11" t="s">
        <v>48</v>
      </c>
      <c r="D11" t="s">
        <v>11</v>
      </c>
      <c r="E11" t="s">
        <v>49</v>
      </c>
      <c r="F11" t="s">
        <v>22</v>
      </c>
      <c r="G11">
        <v>5</v>
      </c>
      <c r="H11">
        <v>4242</v>
      </c>
      <c r="I11">
        <v>21210</v>
      </c>
    </row>
    <row r="12" spans="1:9" x14ac:dyDescent="0.3">
      <c r="A12">
        <v>1112</v>
      </c>
      <c r="B12" t="s">
        <v>50</v>
      </c>
      <c r="C12" t="s">
        <v>51</v>
      </c>
      <c r="D12" t="s">
        <v>52</v>
      </c>
      <c r="E12" t="s">
        <v>17</v>
      </c>
      <c r="F12" t="s">
        <v>53</v>
      </c>
      <c r="G12">
        <v>4</v>
      </c>
      <c r="H12">
        <v>4034</v>
      </c>
      <c r="I12">
        <v>16136</v>
      </c>
    </row>
    <row r="13" spans="1:9" x14ac:dyDescent="0.3">
      <c r="A13">
        <v>1011</v>
      </c>
      <c r="B13" t="s">
        <v>54</v>
      </c>
      <c r="C13" t="s">
        <v>55</v>
      </c>
      <c r="D13" t="s">
        <v>35</v>
      </c>
      <c r="E13" t="s">
        <v>56</v>
      </c>
      <c r="F13" t="s">
        <v>57</v>
      </c>
      <c r="G13">
        <v>1</v>
      </c>
      <c r="H13">
        <v>2604</v>
      </c>
      <c r="I13">
        <v>2604</v>
      </c>
    </row>
    <row r="14" spans="1:9" x14ac:dyDescent="0.3">
      <c r="A14">
        <v>1269</v>
      </c>
      <c r="B14" t="s">
        <v>58</v>
      </c>
      <c r="C14" t="s">
        <v>59</v>
      </c>
      <c r="D14" t="s">
        <v>30</v>
      </c>
      <c r="E14" t="s">
        <v>17</v>
      </c>
      <c r="F14" t="s">
        <v>18</v>
      </c>
      <c r="G14">
        <v>5</v>
      </c>
      <c r="H14">
        <v>1829</v>
      </c>
      <c r="I14">
        <v>9145</v>
      </c>
    </row>
    <row r="15" spans="1:9" x14ac:dyDescent="0.3">
      <c r="A15">
        <v>1552</v>
      </c>
      <c r="B15" t="s">
        <v>60</v>
      </c>
      <c r="C15" t="s">
        <v>61</v>
      </c>
      <c r="D15" t="s">
        <v>62</v>
      </c>
      <c r="E15" t="s">
        <v>56</v>
      </c>
      <c r="F15" t="s">
        <v>57</v>
      </c>
      <c r="G15">
        <v>1</v>
      </c>
      <c r="H15">
        <v>1116</v>
      </c>
      <c r="I15">
        <v>1116</v>
      </c>
    </row>
    <row r="16" spans="1:9" x14ac:dyDescent="0.3">
      <c r="A16">
        <v>1314</v>
      </c>
      <c r="B16" t="s">
        <v>63</v>
      </c>
      <c r="C16" t="s">
        <v>64</v>
      </c>
      <c r="D16" t="s">
        <v>25</v>
      </c>
      <c r="E16" t="s">
        <v>17</v>
      </c>
      <c r="F16" t="s">
        <v>18</v>
      </c>
      <c r="G16">
        <v>4</v>
      </c>
      <c r="H16">
        <v>766</v>
      </c>
      <c r="I16">
        <v>3064</v>
      </c>
    </row>
    <row r="17" spans="1:9" x14ac:dyDescent="0.3">
      <c r="A17">
        <v>1128</v>
      </c>
      <c r="B17" t="s">
        <v>65</v>
      </c>
      <c r="C17" t="s">
        <v>66</v>
      </c>
      <c r="D17" t="s">
        <v>30</v>
      </c>
      <c r="E17" t="s">
        <v>49</v>
      </c>
      <c r="F17" t="s">
        <v>67</v>
      </c>
      <c r="G17">
        <v>5</v>
      </c>
      <c r="H17">
        <v>3666</v>
      </c>
      <c r="I17">
        <v>18330</v>
      </c>
    </row>
    <row r="18" spans="1:9" x14ac:dyDescent="0.3">
      <c r="A18">
        <v>1205</v>
      </c>
      <c r="B18" t="s">
        <v>68</v>
      </c>
      <c r="C18" t="s">
        <v>69</v>
      </c>
      <c r="D18" t="s">
        <v>62</v>
      </c>
      <c r="E18" t="s">
        <v>45</v>
      </c>
      <c r="F18" t="s">
        <v>22</v>
      </c>
      <c r="G18">
        <v>1</v>
      </c>
      <c r="H18">
        <v>2230</v>
      </c>
      <c r="I18">
        <v>2230</v>
      </c>
    </row>
    <row r="19" spans="1:9" x14ac:dyDescent="0.3">
      <c r="A19">
        <v>1567</v>
      </c>
      <c r="B19" t="s">
        <v>70</v>
      </c>
      <c r="C19" t="s">
        <v>71</v>
      </c>
      <c r="D19" t="s">
        <v>42</v>
      </c>
      <c r="E19" t="s">
        <v>17</v>
      </c>
      <c r="F19" t="s">
        <v>72</v>
      </c>
      <c r="G19">
        <v>2</v>
      </c>
      <c r="H19">
        <v>752</v>
      </c>
      <c r="I19">
        <v>1504</v>
      </c>
    </row>
    <row r="20" spans="1:9" x14ac:dyDescent="0.3">
      <c r="A20">
        <v>1072</v>
      </c>
      <c r="B20" t="s">
        <v>73</v>
      </c>
      <c r="C20" t="s">
        <v>74</v>
      </c>
      <c r="D20" t="s">
        <v>11</v>
      </c>
      <c r="E20" t="s">
        <v>12</v>
      </c>
      <c r="F20" t="s">
        <v>75</v>
      </c>
      <c r="G20">
        <v>5</v>
      </c>
      <c r="H20">
        <v>4920</v>
      </c>
      <c r="I20">
        <v>24600</v>
      </c>
    </row>
    <row r="21" spans="1:9" x14ac:dyDescent="0.3">
      <c r="A21">
        <v>1416</v>
      </c>
      <c r="B21" t="s">
        <v>76</v>
      </c>
      <c r="C21" t="s">
        <v>77</v>
      </c>
      <c r="D21" t="s">
        <v>52</v>
      </c>
      <c r="E21" t="s">
        <v>56</v>
      </c>
      <c r="F21" t="s">
        <v>78</v>
      </c>
      <c r="G21">
        <v>4</v>
      </c>
      <c r="H21">
        <v>4025</v>
      </c>
      <c r="I21">
        <v>16100</v>
      </c>
    </row>
    <row r="22" spans="1:9" x14ac:dyDescent="0.3">
      <c r="A22">
        <v>1100</v>
      </c>
      <c r="B22" t="s">
        <v>79</v>
      </c>
      <c r="C22" t="s">
        <v>80</v>
      </c>
      <c r="D22" t="s">
        <v>16</v>
      </c>
      <c r="E22" t="s">
        <v>12</v>
      </c>
      <c r="F22" t="s">
        <v>27</v>
      </c>
      <c r="G22">
        <v>2</v>
      </c>
      <c r="H22">
        <v>4593</v>
      </c>
      <c r="I22">
        <v>9186</v>
      </c>
    </row>
    <row r="23" spans="1:9" x14ac:dyDescent="0.3">
      <c r="A23">
        <v>1285</v>
      </c>
      <c r="B23" t="s">
        <v>81</v>
      </c>
      <c r="C23" t="s">
        <v>82</v>
      </c>
      <c r="D23" t="s">
        <v>42</v>
      </c>
      <c r="E23" t="s">
        <v>83</v>
      </c>
      <c r="F23" t="s">
        <v>78</v>
      </c>
      <c r="G23">
        <v>5</v>
      </c>
      <c r="H23">
        <v>320</v>
      </c>
      <c r="I23">
        <v>1600</v>
      </c>
    </row>
    <row r="24" spans="1:9" x14ac:dyDescent="0.3">
      <c r="A24">
        <v>1242</v>
      </c>
      <c r="B24" t="s">
        <v>84</v>
      </c>
      <c r="C24" t="s">
        <v>85</v>
      </c>
      <c r="D24" t="s">
        <v>52</v>
      </c>
      <c r="E24" t="s">
        <v>49</v>
      </c>
      <c r="F24" t="s">
        <v>46</v>
      </c>
      <c r="G24">
        <v>1</v>
      </c>
      <c r="H24">
        <v>1548</v>
      </c>
      <c r="I24">
        <v>1548</v>
      </c>
    </row>
    <row r="25" spans="1:9" x14ac:dyDescent="0.3">
      <c r="A25">
        <v>1271</v>
      </c>
      <c r="B25" t="s">
        <v>86</v>
      </c>
      <c r="C25" t="s">
        <v>87</v>
      </c>
      <c r="D25" t="s">
        <v>11</v>
      </c>
      <c r="E25" t="s">
        <v>45</v>
      </c>
      <c r="F25" t="s">
        <v>67</v>
      </c>
      <c r="G25">
        <v>2</v>
      </c>
      <c r="H25">
        <v>2630</v>
      </c>
      <c r="I25">
        <v>5260</v>
      </c>
    </row>
    <row r="26" spans="1:9" x14ac:dyDescent="0.3">
      <c r="A26">
        <v>1555</v>
      </c>
      <c r="B26" t="s">
        <v>79</v>
      </c>
      <c r="C26" t="s">
        <v>88</v>
      </c>
      <c r="D26" t="s">
        <v>62</v>
      </c>
      <c r="E26" t="s">
        <v>89</v>
      </c>
      <c r="F26" t="s">
        <v>27</v>
      </c>
      <c r="G26">
        <v>5</v>
      </c>
      <c r="H26">
        <v>4550</v>
      </c>
      <c r="I26">
        <v>22750</v>
      </c>
    </row>
    <row r="27" spans="1:9" x14ac:dyDescent="0.3">
      <c r="A27">
        <v>1082</v>
      </c>
      <c r="B27" t="s">
        <v>90</v>
      </c>
      <c r="C27" t="s">
        <v>91</v>
      </c>
      <c r="D27" t="s">
        <v>25</v>
      </c>
      <c r="E27" t="s">
        <v>92</v>
      </c>
      <c r="F27" t="s">
        <v>93</v>
      </c>
      <c r="G27">
        <v>5</v>
      </c>
      <c r="H27">
        <v>2216</v>
      </c>
      <c r="I27">
        <v>11080</v>
      </c>
    </row>
    <row r="28" spans="1:9" x14ac:dyDescent="0.3">
      <c r="A28">
        <v>1083</v>
      </c>
      <c r="B28" t="s">
        <v>94</v>
      </c>
      <c r="C28" t="s">
        <v>66</v>
      </c>
      <c r="D28" t="s">
        <v>35</v>
      </c>
      <c r="E28" t="s">
        <v>12</v>
      </c>
      <c r="F28" t="s">
        <v>95</v>
      </c>
      <c r="G28">
        <v>2</v>
      </c>
      <c r="H28">
        <v>2375</v>
      </c>
      <c r="I28">
        <v>4750</v>
      </c>
    </row>
    <row r="29" spans="1:9" x14ac:dyDescent="0.3">
      <c r="A29">
        <v>1307</v>
      </c>
      <c r="B29" t="s">
        <v>96</v>
      </c>
      <c r="C29" t="s">
        <v>97</v>
      </c>
      <c r="D29" t="s">
        <v>25</v>
      </c>
      <c r="E29" t="s">
        <v>92</v>
      </c>
      <c r="F29" t="s">
        <v>32</v>
      </c>
      <c r="G29">
        <v>1</v>
      </c>
      <c r="H29">
        <v>4604</v>
      </c>
      <c r="I29">
        <v>4604</v>
      </c>
    </row>
    <row r="30" spans="1:9" x14ac:dyDescent="0.3">
      <c r="A30">
        <v>1357</v>
      </c>
      <c r="B30" t="s">
        <v>98</v>
      </c>
      <c r="C30" t="s">
        <v>99</v>
      </c>
      <c r="D30" t="s">
        <v>11</v>
      </c>
      <c r="E30" t="s">
        <v>100</v>
      </c>
      <c r="F30" t="s">
        <v>101</v>
      </c>
      <c r="G30">
        <v>4</v>
      </c>
      <c r="H30">
        <v>4650</v>
      </c>
      <c r="I30">
        <v>18600</v>
      </c>
    </row>
    <row r="31" spans="1:9" x14ac:dyDescent="0.3">
      <c r="A31">
        <v>1541</v>
      </c>
      <c r="B31" t="s">
        <v>102</v>
      </c>
      <c r="C31" t="s">
        <v>103</v>
      </c>
      <c r="D31" t="s">
        <v>30</v>
      </c>
      <c r="E31" t="s">
        <v>12</v>
      </c>
      <c r="F31" t="s">
        <v>27</v>
      </c>
      <c r="G31">
        <v>1</v>
      </c>
      <c r="H31">
        <v>1076</v>
      </c>
      <c r="I31">
        <v>1076</v>
      </c>
    </row>
    <row r="32" spans="1:9" x14ac:dyDescent="0.3">
      <c r="A32">
        <v>1288</v>
      </c>
      <c r="B32" t="s">
        <v>104</v>
      </c>
      <c r="C32" t="s">
        <v>105</v>
      </c>
      <c r="D32" t="s">
        <v>62</v>
      </c>
      <c r="E32" t="s">
        <v>36</v>
      </c>
      <c r="F32" t="s">
        <v>13</v>
      </c>
      <c r="G32">
        <v>3</v>
      </c>
      <c r="H32">
        <v>616</v>
      </c>
      <c r="I32">
        <v>1848</v>
      </c>
    </row>
    <row r="33" spans="1:9" x14ac:dyDescent="0.3">
      <c r="A33">
        <v>1283</v>
      </c>
      <c r="B33" t="s">
        <v>106</v>
      </c>
      <c r="C33" t="s">
        <v>107</v>
      </c>
      <c r="D33" t="s">
        <v>11</v>
      </c>
      <c r="E33" t="s">
        <v>36</v>
      </c>
      <c r="F33" t="s">
        <v>13</v>
      </c>
      <c r="G33">
        <v>4</v>
      </c>
      <c r="H33">
        <v>4719</v>
      </c>
      <c r="I33">
        <v>18876</v>
      </c>
    </row>
    <row r="34" spans="1:9" x14ac:dyDescent="0.3">
      <c r="A34">
        <v>1114</v>
      </c>
      <c r="B34" t="s">
        <v>108</v>
      </c>
      <c r="C34" t="s">
        <v>109</v>
      </c>
      <c r="D34" t="s">
        <v>35</v>
      </c>
      <c r="E34" t="s">
        <v>17</v>
      </c>
      <c r="F34" t="s">
        <v>18</v>
      </c>
      <c r="G34">
        <v>5</v>
      </c>
      <c r="H34">
        <v>4726</v>
      </c>
      <c r="I34">
        <v>23630</v>
      </c>
    </row>
    <row r="35" spans="1:9" x14ac:dyDescent="0.3">
      <c r="A35">
        <v>1315</v>
      </c>
      <c r="B35" t="s">
        <v>110</v>
      </c>
      <c r="C35" t="s">
        <v>111</v>
      </c>
      <c r="D35" t="s">
        <v>16</v>
      </c>
      <c r="E35" t="s">
        <v>31</v>
      </c>
      <c r="F35" t="s">
        <v>112</v>
      </c>
      <c r="G35">
        <v>1</v>
      </c>
      <c r="H35">
        <v>3097</v>
      </c>
      <c r="I35">
        <v>3097</v>
      </c>
    </row>
    <row r="36" spans="1:9" x14ac:dyDescent="0.3">
      <c r="A36">
        <v>1416</v>
      </c>
      <c r="B36" t="s">
        <v>113</v>
      </c>
      <c r="C36" t="s">
        <v>88</v>
      </c>
      <c r="D36" t="s">
        <v>11</v>
      </c>
      <c r="E36" t="s">
        <v>39</v>
      </c>
      <c r="F36" t="s">
        <v>114</v>
      </c>
      <c r="G36">
        <v>4</v>
      </c>
      <c r="H36">
        <v>403</v>
      </c>
      <c r="I36">
        <v>1612</v>
      </c>
    </row>
    <row r="37" spans="1:9" x14ac:dyDescent="0.3">
      <c r="A37">
        <v>1421</v>
      </c>
      <c r="B37" t="s">
        <v>115</v>
      </c>
      <c r="C37" t="s">
        <v>116</v>
      </c>
      <c r="D37" t="s">
        <v>25</v>
      </c>
      <c r="E37" t="s">
        <v>39</v>
      </c>
      <c r="F37" t="s">
        <v>101</v>
      </c>
      <c r="G37">
        <v>4</v>
      </c>
      <c r="H37">
        <v>517</v>
      </c>
      <c r="I37">
        <v>2068</v>
      </c>
    </row>
    <row r="38" spans="1:9" x14ac:dyDescent="0.3">
      <c r="A38">
        <v>1471</v>
      </c>
      <c r="B38" t="s">
        <v>117</v>
      </c>
      <c r="C38" t="s">
        <v>118</v>
      </c>
      <c r="D38" t="s">
        <v>16</v>
      </c>
      <c r="E38" t="s">
        <v>17</v>
      </c>
      <c r="F38" t="s">
        <v>114</v>
      </c>
      <c r="G38">
        <v>4</v>
      </c>
      <c r="H38">
        <v>2889</v>
      </c>
      <c r="I38">
        <v>11556</v>
      </c>
    </row>
    <row r="39" spans="1:9" x14ac:dyDescent="0.3">
      <c r="A39">
        <v>1285</v>
      </c>
      <c r="B39" t="s">
        <v>117</v>
      </c>
      <c r="C39" t="s">
        <v>119</v>
      </c>
      <c r="D39" t="s">
        <v>42</v>
      </c>
      <c r="E39" t="s">
        <v>21</v>
      </c>
      <c r="F39" t="s">
        <v>67</v>
      </c>
      <c r="G39">
        <v>1</v>
      </c>
      <c r="H39">
        <v>2339</v>
      </c>
      <c r="I39">
        <v>2339</v>
      </c>
    </row>
    <row r="40" spans="1:9" x14ac:dyDescent="0.3">
      <c r="A40">
        <v>1271</v>
      </c>
      <c r="B40" t="s">
        <v>120</v>
      </c>
      <c r="C40" t="s">
        <v>121</v>
      </c>
      <c r="D40" t="s">
        <v>52</v>
      </c>
      <c r="E40" t="s">
        <v>21</v>
      </c>
      <c r="F40" t="s">
        <v>22</v>
      </c>
      <c r="G40">
        <v>5</v>
      </c>
      <c r="H40">
        <v>4389</v>
      </c>
      <c r="I40">
        <v>21945</v>
      </c>
    </row>
    <row r="41" spans="1:9" x14ac:dyDescent="0.3">
      <c r="A41">
        <v>1194</v>
      </c>
      <c r="B41" t="s">
        <v>122</v>
      </c>
      <c r="C41" t="s">
        <v>123</v>
      </c>
      <c r="D41" t="s">
        <v>35</v>
      </c>
      <c r="E41" t="s">
        <v>49</v>
      </c>
      <c r="F41" t="s">
        <v>124</v>
      </c>
      <c r="G41">
        <v>4</v>
      </c>
      <c r="H41">
        <v>773</v>
      </c>
      <c r="I41">
        <v>3092</v>
      </c>
    </row>
    <row r="42" spans="1:9" x14ac:dyDescent="0.3">
      <c r="A42">
        <v>1321</v>
      </c>
      <c r="B42" t="s">
        <v>125</v>
      </c>
      <c r="C42" t="s">
        <v>126</v>
      </c>
      <c r="D42" t="s">
        <v>52</v>
      </c>
      <c r="E42" t="s">
        <v>56</v>
      </c>
      <c r="F42" t="s">
        <v>112</v>
      </c>
      <c r="G42">
        <v>3</v>
      </c>
      <c r="H42">
        <v>3496</v>
      </c>
      <c r="I42">
        <v>10488</v>
      </c>
    </row>
    <row r="43" spans="1:9" x14ac:dyDescent="0.3">
      <c r="A43">
        <v>1196</v>
      </c>
      <c r="B43" t="s">
        <v>127</v>
      </c>
      <c r="C43" t="s">
        <v>103</v>
      </c>
      <c r="D43" t="s">
        <v>52</v>
      </c>
      <c r="E43" t="s">
        <v>21</v>
      </c>
      <c r="F43" t="s">
        <v>128</v>
      </c>
      <c r="G43">
        <v>5</v>
      </c>
      <c r="H43">
        <v>203</v>
      </c>
      <c r="I43">
        <v>1015</v>
      </c>
    </row>
    <row r="44" spans="1:9" x14ac:dyDescent="0.3">
      <c r="A44">
        <v>1593</v>
      </c>
      <c r="B44" t="s">
        <v>129</v>
      </c>
      <c r="C44" t="s">
        <v>130</v>
      </c>
      <c r="D44" t="s">
        <v>62</v>
      </c>
      <c r="E44" t="s">
        <v>26</v>
      </c>
      <c r="F44" t="s">
        <v>75</v>
      </c>
      <c r="G44">
        <v>2</v>
      </c>
      <c r="H44">
        <v>4387</v>
      </c>
      <c r="I44">
        <v>8774</v>
      </c>
    </row>
    <row r="45" spans="1:9" x14ac:dyDescent="0.3">
      <c r="A45">
        <v>1173</v>
      </c>
      <c r="B45" t="s">
        <v>131</v>
      </c>
      <c r="C45" t="s">
        <v>132</v>
      </c>
      <c r="D45" t="s">
        <v>25</v>
      </c>
      <c r="E45" t="s">
        <v>36</v>
      </c>
      <c r="F45" t="s">
        <v>133</v>
      </c>
      <c r="G45">
        <v>2</v>
      </c>
      <c r="H45">
        <v>2742</v>
      </c>
      <c r="I45">
        <v>5484</v>
      </c>
    </row>
    <row r="46" spans="1:9" x14ac:dyDescent="0.3">
      <c r="A46">
        <v>1025</v>
      </c>
      <c r="B46" t="s">
        <v>134</v>
      </c>
      <c r="C46" t="s">
        <v>135</v>
      </c>
      <c r="D46" t="s">
        <v>62</v>
      </c>
      <c r="E46" t="s">
        <v>136</v>
      </c>
      <c r="F46" t="s">
        <v>67</v>
      </c>
      <c r="G46">
        <v>4</v>
      </c>
      <c r="H46">
        <v>4915</v>
      </c>
      <c r="I46">
        <v>19660</v>
      </c>
    </row>
    <row r="47" spans="1:9" x14ac:dyDescent="0.3">
      <c r="A47">
        <v>1506</v>
      </c>
      <c r="B47" t="s">
        <v>137</v>
      </c>
      <c r="C47" t="s">
        <v>135</v>
      </c>
      <c r="D47" t="s">
        <v>52</v>
      </c>
      <c r="E47" t="s">
        <v>17</v>
      </c>
      <c r="F47" t="s">
        <v>72</v>
      </c>
      <c r="G47">
        <v>2</v>
      </c>
      <c r="H47">
        <v>1640</v>
      </c>
      <c r="I47">
        <v>3280</v>
      </c>
    </row>
    <row r="48" spans="1:9" x14ac:dyDescent="0.3">
      <c r="A48">
        <v>1475</v>
      </c>
      <c r="B48" t="s">
        <v>138</v>
      </c>
      <c r="C48" t="s">
        <v>139</v>
      </c>
      <c r="D48" t="s">
        <v>11</v>
      </c>
      <c r="E48" t="s">
        <v>140</v>
      </c>
      <c r="F48" t="s">
        <v>72</v>
      </c>
      <c r="G48">
        <v>4</v>
      </c>
      <c r="H48">
        <v>4551</v>
      </c>
      <c r="I48">
        <v>18204</v>
      </c>
    </row>
    <row r="49" spans="1:9" x14ac:dyDescent="0.3">
      <c r="A49">
        <v>1453</v>
      </c>
      <c r="B49" t="s">
        <v>141</v>
      </c>
      <c r="C49" t="s">
        <v>142</v>
      </c>
      <c r="D49" t="s">
        <v>11</v>
      </c>
      <c r="E49" t="s">
        <v>45</v>
      </c>
      <c r="F49" t="s">
        <v>67</v>
      </c>
      <c r="G49">
        <v>4</v>
      </c>
      <c r="H49">
        <v>3886</v>
      </c>
      <c r="I49">
        <v>15544</v>
      </c>
    </row>
    <row r="50" spans="1:9" x14ac:dyDescent="0.3">
      <c r="A50">
        <v>1283</v>
      </c>
      <c r="B50" t="s">
        <v>143</v>
      </c>
      <c r="C50" t="s">
        <v>144</v>
      </c>
      <c r="D50" t="s">
        <v>25</v>
      </c>
      <c r="E50" t="s">
        <v>140</v>
      </c>
      <c r="F50" t="s">
        <v>101</v>
      </c>
      <c r="G50">
        <v>3</v>
      </c>
      <c r="H50">
        <v>2120</v>
      </c>
      <c r="I50">
        <v>6360</v>
      </c>
    </row>
    <row r="51" spans="1:9" x14ac:dyDescent="0.3">
      <c r="A51">
        <v>1553</v>
      </c>
      <c r="B51" t="s">
        <v>145</v>
      </c>
      <c r="C51" t="s">
        <v>146</v>
      </c>
      <c r="D51" t="s">
        <v>11</v>
      </c>
      <c r="E51" t="s">
        <v>140</v>
      </c>
      <c r="F51" t="s">
        <v>114</v>
      </c>
      <c r="G51">
        <v>2</v>
      </c>
      <c r="H51">
        <v>726</v>
      </c>
      <c r="I51">
        <v>1452</v>
      </c>
    </row>
    <row r="52" spans="1:9" x14ac:dyDescent="0.3">
      <c r="A52">
        <v>1477</v>
      </c>
      <c r="B52" t="s">
        <v>147</v>
      </c>
      <c r="C52" t="s">
        <v>148</v>
      </c>
      <c r="D52" t="s">
        <v>42</v>
      </c>
      <c r="E52" t="s">
        <v>140</v>
      </c>
      <c r="F52" t="s">
        <v>53</v>
      </c>
      <c r="G52">
        <v>5</v>
      </c>
      <c r="H52">
        <v>3316</v>
      </c>
      <c r="I52">
        <v>16580</v>
      </c>
    </row>
    <row r="53" spans="1:9" x14ac:dyDescent="0.3">
      <c r="A53">
        <v>1305</v>
      </c>
      <c r="B53" t="s">
        <v>149</v>
      </c>
      <c r="C53" t="s">
        <v>150</v>
      </c>
      <c r="D53" t="s">
        <v>62</v>
      </c>
      <c r="E53" t="s">
        <v>49</v>
      </c>
      <c r="F53" t="s">
        <v>67</v>
      </c>
      <c r="G53">
        <v>2</v>
      </c>
      <c r="H53">
        <v>2435</v>
      </c>
      <c r="I53">
        <v>4870</v>
      </c>
    </row>
    <row r="54" spans="1:9" x14ac:dyDescent="0.3">
      <c r="A54">
        <v>1344</v>
      </c>
      <c r="B54" t="s">
        <v>115</v>
      </c>
      <c r="C54" t="s">
        <v>151</v>
      </c>
      <c r="D54" t="s">
        <v>11</v>
      </c>
      <c r="E54" t="s">
        <v>45</v>
      </c>
      <c r="F54" t="s">
        <v>128</v>
      </c>
      <c r="G54">
        <v>5</v>
      </c>
      <c r="H54">
        <v>4575</v>
      </c>
      <c r="I54">
        <v>22875</v>
      </c>
    </row>
    <row r="55" spans="1:9" x14ac:dyDescent="0.3">
      <c r="A55">
        <v>1577</v>
      </c>
      <c r="B55" t="s">
        <v>125</v>
      </c>
      <c r="C55" t="s">
        <v>152</v>
      </c>
      <c r="D55" t="s">
        <v>62</v>
      </c>
      <c r="E55" t="s">
        <v>31</v>
      </c>
      <c r="F55" t="s">
        <v>78</v>
      </c>
      <c r="G55">
        <v>2</v>
      </c>
      <c r="H55">
        <v>611</v>
      </c>
      <c r="I55">
        <v>1222</v>
      </c>
    </row>
    <row r="56" spans="1:9" x14ac:dyDescent="0.3">
      <c r="A56">
        <v>1465</v>
      </c>
      <c r="B56" t="s">
        <v>153</v>
      </c>
      <c r="C56" t="s">
        <v>154</v>
      </c>
      <c r="D56" t="s">
        <v>30</v>
      </c>
      <c r="E56" t="s">
        <v>45</v>
      </c>
      <c r="G56">
        <v>1</v>
      </c>
      <c r="H56">
        <v>4052</v>
      </c>
      <c r="I56">
        <v>4052</v>
      </c>
    </row>
    <row r="57" spans="1:9" x14ac:dyDescent="0.3">
      <c r="A57">
        <v>1358</v>
      </c>
      <c r="B57" t="s">
        <v>155</v>
      </c>
      <c r="C57" t="s">
        <v>156</v>
      </c>
      <c r="D57" t="s">
        <v>16</v>
      </c>
      <c r="E57" t="s">
        <v>83</v>
      </c>
      <c r="F57" t="s">
        <v>32</v>
      </c>
      <c r="G57">
        <v>2</v>
      </c>
      <c r="H57">
        <v>366</v>
      </c>
      <c r="I57">
        <v>732</v>
      </c>
    </row>
    <row r="58" spans="1:9" x14ac:dyDescent="0.3">
      <c r="A58">
        <v>1484</v>
      </c>
      <c r="B58" t="s">
        <v>115</v>
      </c>
      <c r="C58" t="s">
        <v>157</v>
      </c>
      <c r="D58" t="s">
        <v>35</v>
      </c>
      <c r="E58" t="s">
        <v>100</v>
      </c>
      <c r="F58" t="s">
        <v>53</v>
      </c>
      <c r="G58">
        <v>2</v>
      </c>
      <c r="H58">
        <v>1138</v>
      </c>
      <c r="I58">
        <v>2276</v>
      </c>
    </row>
    <row r="59" spans="1:9" x14ac:dyDescent="0.3">
      <c r="A59">
        <v>1318</v>
      </c>
      <c r="B59" t="s">
        <v>158</v>
      </c>
      <c r="C59" t="s">
        <v>159</v>
      </c>
      <c r="D59" t="s">
        <v>52</v>
      </c>
      <c r="E59" t="s">
        <v>92</v>
      </c>
      <c r="F59" t="s">
        <v>112</v>
      </c>
      <c r="G59">
        <v>2</v>
      </c>
      <c r="H59">
        <v>822</v>
      </c>
      <c r="I59">
        <v>1644</v>
      </c>
    </row>
    <row r="60" spans="1:9" x14ac:dyDescent="0.3">
      <c r="A60">
        <v>1248</v>
      </c>
      <c r="B60" t="s">
        <v>160</v>
      </c>
      <c r="C60" t="s">
        <v>20</v>
      </c>
      <c r="D60" t="s">
        <v>42</v>
      </c>
      <c r="E60" t="s">
        <v>89</v>
      </c>
      <c r="F60" t="s">
        <v>133</v>
      </c>
      <c r="G60">
        <v>3</v>
      </c>
      <c r="H60">
        <v>4564</v>
      </c>
      <c r="I60">
        <v>13692</v>
      </c>
    </row>
    <row r="61" spans="1:9" x14ac:dyDescent="0.3">
      <c r="A61">
        <v>1518</v>
      </c>
      <c r="B61" t="s">
        <v>161</v>
      </c>
      <c r="C61" t="s">
        <v>162</v>
      </c>
      <c r="D61" t="s">
        <v>25</v>
      </c>
      <c r="E61" t="s">
        <v>92</v>
      </c>
      <c r="F61" t="s">
        <v>78</v>
      </c>
      <c r="G61">
        <v>4</v>
      </c>
      <c r="H61">
        <v>3167</v>
      </c>
      <c r="I61">
        <v>12668</v>
      </c>
    </row>
    <row r="62" spans="1:9" x14ac:dyDescent="0.3">
      <c r="A62">
        <v>1156</v>
      </c>
      <c r="B62" t="s">
        <v>163</v>
      </c>
      <c r="C62" t="s">
        <v>164</v>
      </c>
      <c r="D62" t="s">
        <v>62</v>
      </c>
      <c r="E62" t="s">
        <v>26</v>
      </c>
      <c r="F62" t="s">
        <v>133</v>
      </c>
      <c r="G62">
        <v>4</v>
      </c>
      <c r="H62">
        <v>2398</v>
      </c>
      <c r="I62">
        <v>9592</v>
      </c>
    </row>
    <row r="63" spans="1:9" x14ac:dyDescent="0.3">
      <c r="A63">
        <v>1088</v>
      </c>
      <c r="B63" t="s">
        <v>165</v>
      </c>
      <c r="C63" t="s">
        <v>99</v>
      </c>
      <c r="D63" t="s">
        <v>52</v>
      </c>
      <c r="E63" t="s">
        <v>45</v>
      </c>
      <c r="F63" t="s">
        <v>128</v>
      </c>
      <c r="G63">
        <v>3</v>
      </c>
      <c r="H63">
        <v>435</v>
      </c>
      <c r="I63">
        <v>1305</v>
      </c>
    </row>
    <row r="64" spans="1:9" x14ac:dyDescent="0.3">
      <c r="A64">
        <v>1499</v>
      </c>
      <c r="B64" t="s">
        <v>166</v>
      </c>
      <c r="C64" t="s">
        <v>167</v>
      </c>
      <c r="D64" t="s">
        <v>30</v>
      </c>
      <c r="E64" t="s">
        <v>36</v>
      </c>
      <c r="F64" t="s">
        <v>95</v>
      </c>
      <c r="G64">
        <v>5</v>
      </c>
      <c r="H64">
        <v>283</v>
      </c>
      <c r="I64">
        <v>1415</v>
      </c>
    </row>
    <row r="65" spans="1:9" x14ac:dyDescent="0.3">
      <c r="A65">
        <v>1247</v>
      </c>
      <c r="B65" t="s">
        <v>168</v>
      </c>
      <c r="C65" t="s">
        <v>169</v>
      </c>
      <c r="D65" t="s">
        <v>62</v>
      </c>
      <c r="E65" t="s">
        <v>140</v>
      </c>
      <c r="F65" t="s">
        <v>53</v>
      </c>
      <c r="G65">
        <v>1</v>
      </c>
      <c r="H65">
        <v>962</v>
      </c>
      <c r="I65">
        <v>962</v>
      </c>
    </row>
    <row r="66" spans="1:9" x14ac:dyDescent="0.3">
      <c r="A66">
        <v>1249</v>
      </c>
      <c r="B66" t="s">
        <v>170</v>
      </c>
      <c r="C66" t="s">
        <v>171</v>
      </c>
      <c r="D66" t="s">
        <v>52</v>
      </c>
      <c r="E66" t="s">
        <v>36</v>
      </c>
      <c r="F66" t="s">
        <v>75</v>
      </c>
      <c r="G66">
        <v>5</v>
      </c>
      <c r="H66">
        <v>2909</v>
      </c>
      <c r="I66">
        <v>14545</v>
      </c>
    </row>
    <row r="67" spans="1:9" x14ac:dyDescent="0.3">
      <c r="A67">
        <v>1313</v>
      </c>
      <c r="B67" t="s">
        <v>172</v>
      </c>
      <c r="C67" t="s">
        <v>173</v>
      </c>
      <c r="D67" t="s">
        <v>25</v>
      </c>
      <c r="E67" t="s">
        <v>56</v>
      </c>
      <c r="F67" t="s">
        <v>93</v>
      </c>
      <c r="G67">
        <v>5</v>
      </c>
      <c r="H67">
        <v>1716</v>
      </c>
      <c r="I67">
        <v>8580</v>
      </c>
    </row>
    <row r="68" spans="1:9" x14ac:dyDescent="0.3">
      <c r="A68">
        <v>1283</v>
      </c>
      <c r="B68" t="s">
        <v>174</v>
      </c>
      <c r="C68" t="s">
        <v>175</v>
      </c>
      <c r="E68" t="s">
        <v>12</v>
      </c>
      <c r="F68" t="s">
        <v>27</v>
      </c>
      <c r="G68">
        <v>2</v>
      </c>
      <c r="H68">
        <v>3156</v>
      </c>
      <c r="I68">
        <v>6312</v>
      </c>
    </row>
    <row r="69" spans="1:9" x14ac:dyDescent="0.3">
      <c r="A69">
        <v>1546</v>
      </c>
      <c r="B69" t="s">
        <v>176</v>
      </c>
      <c r="C69" t="s">
        <v>177</v>
      </c>
      <c r="D69" t="s">
        <v>11</v>
      </c>
      <c r="E69" t="s">
        <v>56</v>
      </c>
      <c r="F69" t="s">
        <v>32</v>
      </c>
      <c r="G69">
        <v>4</v>
      </c>
      <c r="H69">
        <v>1040</v>
      </c>
      <c r="I69">
        <v>4160</v>
      </c>
    </row>
    <row r="70" spans="1:9" x14ac:dyDescent="0.3">
      <c r="A70">
        <v>1480</v>
      </c>
      <c r="B70" t="s">
        <v>178</v>
      </c>
      <c r="C70" t="s">
        <v>179</v>
      </c>
      <c r="D70" t="s">
        <v>30</v>
      </c>
      <c r="E70" t="s">
        <v>89</v>
      </c>
      <c r="F70" t="s">
        <v>13</v>
      </c>
      <c r="G70">
        <v>4</v>
      </c>
      <c r="H70">
        <v>1134</v>
      </c>
      <c r="I70">
        <v>4536</v>
      </c>
    </row>
    <row r="71" spans="1:9" x14ac:dyDescent="0.3">
      <c r="A71">
        <v>1075</v>
      </c>
      <c r="B71" t="s">
        <v>28</v>
      </c>
      <c r="C71" t="s">
        <v>180</v>
      </c>
      <c r="D71" t="s">
        <v>30</v>
      </c>
      <c r="E71" t="s">
        <v>31</v>
      </c>
      <c r="F71" t="s">
        <v>93</v>
      </c>
      <c r="G71">
        <v>1</v>
      </c>
      <c r="H71">
        <v>2233</v>
      </c>
      <c r="I71">
        <v>2233</v>
      </c>
    </row>
    <row r="72" spans="1:9" x14ac:dyDescent="0.3">
      <c r="A72">
        <v>1231</v>
      </c>
      <c r="B72" t="s">
        <v>181</v>
      </c>
      <c r="C72" t="s">
        <v>182</v>
      </c>
      <c r="D72" t="s">
        <v>52</v>
      </c>
      <c r="E72" t="s">
        <v>21</v>
      </c>
      <c r="F72" t="s">
        <v>46</v>
      </c>
      <c r="G72">
        <v>3</v>
      </c>
      <c r="H72">
        <v>4858</v>
      </c>
      <c r="I72">
        <v>14574</v>
      </c>
    </row>
    <row r="73" spans="1:9" x14ac:dyDescent="0.3">
      <c r="A73">
        <v>1101</v>
      </c>
      <c r="B73" t="s">
        <v>183</v>
      </c>
      <c r="C73" t="s">
        <v>51</v>
      </c>
      <c r="D73" t="s">
        <v>11</v>
      </c>
      <c r="E73" t="s">
        <v>17</v>
      </c>
      <c r="F73" t="s">
        <v>101</v>
      </c>
      <c r="G73">
        <v>2</v>
      </c>
      <c r="H73">
        <v>1623</v>
      </c>
      <c r="I73">
        <v>3246</v>
      </c>
    </row>
    <row r="74" spans="1:9" x14ac:dyDescent="0.3">
      <c r="A74">
        <v>1418</v>
      </c>
      <c r="B74" t="s">
        <v>184</v>
      </c>
      <c r="C74" t="s">
        <v>185</v>
      </c>
      <c r="D74" t="s">
        <v>16</v>
      </c>
      <c r="E74" t="s">
        <v>136</v>
      </c>
      <c r="F74" t="s">
        <v>22</v>
      </c>
      <c r="G74">
        <v>3</v>
      </c>
      <c r="H74">
        <v>2516</v>
      </c>
      <c r="I74">
        <v>7548</v>
      </c>
    </row>
    <row r="75" spans="1:9" x14ac:dyDescent="0.3">
      <c r="A75">
        <v>1239</v>
      </c>
      <c r="B75" t="s">
        <v>186</v>
      </c>
      <c r="C75" t="s">
        <v>187</v>
      </c>
      <c r="D75" t="s">
        <v>16</v>
      </c>
      <c r="E75" t="s">
        <v>17</v>
      </c>
      <c r="F75" t="s">
        <v>53</v>
      </c>
      <c r="G75">
        <v>2</v>
      </c>
      <c r="H75">
        <v>2376</v>
      </c>
      <c r="I75">
        <v>4752</v>
      </c>
    </row>
    <row r="76" spans="1:9" x14ac:dyDescent="0.3">
      <c r="A76">
        <v>1169</v>
      </c>
      <c r="B76" t="s">
        <v>188</v>
      </c>
      <c r="C76" t="s">
        <v>189</v>
      </c>
      <c r="D76" t="s">
        <v>62</v>
      </c>
      <c r="E76" t="s">
        <v>89</v>
      </c>
      <c r="F76" t="s">
        <v>75</v>
      </c>
      <c r="G76">
        <v>3</v>
      </c>
      <c r="H76">
        <v>3497</v>
      </c>
      <c r="I76">
        <v>10491</v>
      </c>
    </row>
    <row r="77" spans="1:9" x14ac:dyDescent="0.3">
      <c r="A77">
        <v>1505</v>
      </c>
      <c r="B77" t="s">
        <v>190</v>
      </c>
      <c r="C77" t="s">
        <v>191</v>
      </c>
      <c r="D77" t="s">
        <v>30</v>
      </c>
      <c r="E77" t="s">
        <v>56</v>
      </c>
      <c r="F77" t="s">
        <v>78</v>
      </c>
      <c r="G77">
        <v>1</v>
      </c>
      <c r="H77">
        <v>948</v>
      </c>
      <c r="I77">
        <v>948</v>
      </c>
    </row>
    <row r="78" spans="1:9" x14ac:dyDescent="0.3">
      <c r="A78">
        <v>1589</v>
      </c>
      <c r="B78" t="s">
        <v>192</v>
      </c>
      <c r="C78" t="s">
        <v>193</v>
      </c>
      <c r="D78" t="s">
        <v>11</v>
      </c>
      <c r="E78" t="s">
        <v>83</v>
      </c>
      <c r="F78" t="s">
        <v>112</v>
      </c>
      <c r="G78">
        <v>4</v>
      </c>
      <c r="H78">
        <v>4451</v>
      </c>
      <c r="I78">
        <v>17804</v>
      </c>
    </row>
    <row r="79" spans="1:9" x14ac:dyDescent="0.3">
      <c r="A79">
        <v>1185</v>
      </c>
      <c r="B79" t="s">
        <v>47</v>
      </c>
      <c r="C79" t="s">
        <v>194</v>
      </c>
      <c r="D79" t="s">
        <v>35</v>
      </c>
      <c r="E79" t="s">
        <v>45</v>
      </c>
      <c r="F79" t="s">
        <v>124</v>
      </c>
      <c r="G79">
        <v>4</v>
      </c>
      <c r="H79">
        <v>2930</v>
      </c>
      <c r="I79">
        <v>11720</v>
      </c>
    </row>
    <row r="80" spans="1:9" x14ac:dyDescent="0.3">
      <c r="A80">
        <v>1164</v>
      </c>
      <c r="B80" t="s">
        <v>195</v>
      </c>
      <c r="C80" t="s">
        <v>196</v>
      </c>
      <c r="D80" t="s">
        <v>42</v>
      </c>
      <c r="E80" t="s">
        <v>45</v>
      </c>
      <c r="F80" t="s">
        <v>22</v>
      </c>
      <c r="G80">
        <v>4</v>
      </c>
      <c r="H80">
        <v>921</v>
      </c>
      <c r="I80">
        <v>3684</v>
      </c>
    </row>
    <row r="81" spans="1:9" x14ac:dyDescent="0.3">
      <c r="A81">
        <v>1413</v>
      </c>
      <c r="B81" t="s">
        <v>73</v>
      </c>
      <c r="C81" t="s">
        <v>197</v>
      </c>
      <c r="D81" t="s">
        <v>52</v>
      </c>
      <c r="E81" t="s">
        <v>92</v>
      </c>
      <c r="F81" t="s">
        <v>57</v>
      </c>
      <c r="G81">
        <v>1</v>
      </c>
      <c r="H81">
        <v>1736</v>
      </c>
      <c r="I81">
        <v>1736</v>
      </c>
    </row>
    <row r="82" spans="1:9" x14ac:dyDescent="0.3">
      <c r="A82">
        <v>1510</v>
      </c>
      <c r="B82" t="s">
        <v>198</v>
      </c>
      <c r="C82" t="s">
        <v>199</v>
      </c>
      <c r="D82" t="s">
        <v>11</v>
      </c>
      <c r="E82" t="s">
        <v>56</v>
      </c>
      <c r="F82" t="s">
        <v>93</v>
      </c>
      <c r="G82">
        <v>3</v>
      </c>
      <c r="H82">
        <v>3789</v>
      </c>
      <c r="I82">
        <v>11367</v>
      </c>
    </row>
    <row r="83" spans="1:9" x14ac:dyDescent="0.3">
      <c r="A83">
        <v>1029</v>
      </c>
      <c r="B83" t="s">
        <v>200</v>
      </c>
      <c r="C83" t="s">
        <v>201</v>
      </c>
      <c r="D83" t="s">
        <v>42</v>
      </c>
      <c r="E83" t="s">
        <v>100</v>
      </c>
      <c r="F83" t="s">
        <v>114</v>
      </c>
      <c r="G83">
        <v>5</v>
      </c>
      <c r="H83">
        <v>3542</v>
      </c>
      <c r="I83">
        <v>17710</v>
      </c>
    </row>
    <row r="84" spans="1:9" x14ac:dyDescent="0.3">
      <c r="A84">
        <v>1116</v>
      </c>
      <c r="B84" t="s">
        <v>81</v>
      </c>
      <c r="C84" t="s">
        <v>202</v>
      </c>
      <c r="D84" t="s">
        <v>30</v>
      </c>
      <c r="E84" t="s">
        <v>92</v>
      </c>
      <c r="F84" t="s">
        <v>93</v>
      </c>
      <c r="G84">
        <v>5</v>
      </c>
      <c r="H84">
        <v>2439</v>
      </c>
      <c r="I84">
        <v>12195</v>
      </c>
    </row>
    <row r="85" spans="1:9" x14ac:dyDescent="0.3">
      <c r="A85">
        <v>1483</v>
      </c>
      <c r="B85" t="s">
        <v>203</v>
      </c>
      <c r="C85" t="s">
        <v>204</v>
      </c>
      <c r="D85" t="s">
        <v>11</v>
      </c>
      <c r="E85" t="s">
        <v>39</v>
      </c>
      <c r="F85" t="s">
        <v>53</v>
      </c>
      <c r="G85">
        <v>1</v>
      </c>
      <c r="H85">
        <v>2463</v>
      </c>
      <c r="I85">
        <v>2463</v>
      </c>
    </row>
    <row r="86" spans="1:9" x14ac:dyDescent="0.3">
      <c r="A86">
        <v>1348</v>
      </c>
      <c r="B86" t="s">
        <v>205</v>
      </c>
      <c r="C86" t="s">
        <v>206</v>
      </c>
      <c r="D86" t="s">
        <v>62</v>
      </c>
      <c r="E86" t="s">
        <v>56</v>
      </c>
      <c r="F86" t="s">
        <v>112</v>
      </c>
      <c r="G86">
        <v>2</v>
      </c>
      <c r="H86">
        <v>3858</v>
      </c>
      <c r="I86">
        <v>7716</v>
      </c>
    </row>
    <row r="87" spans="1:9" x14ac:dyDescent="0.3">
      <c r="A87">
        <v>1565</v>
      </c>
      <c r="B87" t="s">
        <v>207</v>
      </c>
      <c r="C87" t="s">
        <v>208</v>
      </c>
      <c r="D87" t="s">
        <v>16</v>
      </c>
      <c r="E87" t="s">
        <v>49</v>
      </c>
      <c r="F87" t="s">
        <v>22</v>
      </c>
      <c r="G87">
        <v>5</v>
      </c>
      <c r="H87">
        <v>3337</v>
      </c>
      <c r="I87">
        <v>16685</v>
      </c>
    </row>
    <row r="88" spans="1:9" x14ac:dyDescent="0.3">
      <c r="A88">
        <v>1044</v>
      </c>
      <c r="B88" t="s">
        <v>209</v>
      </c>
      <c r="C88" t="s">
        <v>210</v>
      </c>
      <c r="D88" t="s">
        <v>11</v>
      </c>
      <c r="E88" t="s">
        <v>45</v>
      </c>
      <c r="F88" t="s">
        <v>46</v>
      </c>
      <c r="G88">
        <v>4</v>
      </c>
      <c r="H88">
        <v>503</v>
      </c>
      <c r="I88">
        <v>2012</v>
      </c>
    </row>
    <row r="89" spans="1:9" x14ac:dyDescent="0.3">
      <c r="A89">
        <v>1339</v>
      </c>
      <c r="B89" t="s">
        <v>211</v>
      </c>
      <c r="C89" t="s">
        <v>212</v>
      </c>
      <c r="D89" t="s">
        <v>42</v>
      </c>
      <c r="E89" t="s">
        <v>45</v>
      </c>
      <c r="F89" t="s">
        <v>124</v>
      </c>
      <c r="G89">
        <v>2</v>
      </c>
      <c r="H89">
        <v>3558</v>
      </c>
      <c r="I89">
        <v>7116</v>
      </c>
    </row>
    <row r="90" spans="1:9" x14ac:dyDescent="0.3">
      <c r="A90">
        <v>1076</v>
      </c>
      <c r="B90" t="s">
        <v>213</v>
      </c>
      <c r="C90" t="s">
        <v>214</v>
      </c>
      <c r="D90" t="s">
        <v>25</v>
      </c>
      <c r="E90" t="s">
        <v>26</v>
      </c>
      <c r="F90" t="s">
        <v>95</v>
      </c>
      <c r="G90">
        <v>3</v>
      </c>
      <c r="H90">
        <v>4571</v>
      </c>
      <c r="I90">
        <v>13713</v>
      </c>
    </row>
    <row r="91" spans="1:9" x14ac:dyDescent="0.3">
      <c r="A91">
        <v>1499</v>
      </c>
      <c r="B91" t="s">
        <v>215</v>
      </c>
      <c r="C91" t="s">
        <v>216</v>
      </c>
      <c r="D91" t="s">
        <v>16</v>
      </c>
      <c r="E91" t="s">
        <v>56</v>
      </c>
      <c r="F91" t="s">
        <v>93</v>
      </c>
      <c r="G91">
        <v>1</v>
      </c>
      <c r="H91">
        <v>3755</v>
      </c>
      <c r="I91">
        <v>3755</v>
      </c>
    </row>
    <row r="92" spans="1:9" x14ac:dyDescent="0.3">
      <c r="A92">
        <v>1102</v>
      </c>
      <c r="B92" t="s">
        <v>217</v>
      </c>
      <c r="C92" t="s">
        <v>218</v>
      </c>
      <c r="D92" t="s">
        <v>35</v>
      </c>
      <c r="E92" t="s">
        <v>89</v>
      </c>
      <c r="F92" t="s">
        <v>27</v>
      </c>
      <c r="G92">
        <v>1</v>
      </c>
      <c r="H92">
        <v>2603</v>
      </c>
      <c r="I92">
        <v>2603</v>
      </c>
    </row>
    <row r="93" spans="1:9" x14ac:dyDescent="0.3">
      <c r="A93">
        <v>1250</v>
      </c>
      <c r="B93" t="s">
        <v>60</v>
      </c>
      <c r="C93" t="s">
        <v>196</v>
      </c>
      <c r="D93" t="s">
        <v>25</v>
      </c>
      <c r="E93" t="s">
        <v>39</v>
      </c>
      <c r="F93" t="s">
        <v>114</v>
      </c>
      <c r="G93">
        <v>5</v>
      </c>
      <c r="H93">
        <v>3333</v>
      </c>
      <c r="I93">
        <v>16665</v>
      </c>
    </row>
    <row r="94" spans="1:9" x14ac:dyDescent="0.3">
      <c r="A94">
        <v>1597</v>
      </c>
      <c r="B94" t="s">
        <v>219</v>
      </c>
      <c r="C94" t="s">
        <v>173</v>
      </c>
      <c r="D94" t="s">
        <v>30</v>
      </c>
      <c r="E94" t="s">
        <v>45</v>
      </c>
      <c r="F94" t="s">
        <v>22</v>
      </c>
      <c r="G94">
        <v>1</v>
      </c>
      <c r="H94">
        <v>4011</v>
      </c>
      <c r="I94">
        <v>4011</v>
      </c>
    </row>
    <row r="95" spans="1:9" x14ac:dyDescent="0.3">
      <c r="A95">
        <v>1161</v>
      </c>
      <c r="B95" t="s">
        <v>220</v>
      </c>
      <c r="C95" t="s">
        <v>199</v>
      </c>
      <c r="D95" t="s">
        <v>52</v>
      </c>
      <c r="E95" t="s">
        <v>36</v>
      </c>
      <c r="F95" t="s">
        <v>133</v>
      </c>
      <c r="G95">
        <v>3</v>
      </c>
      <c r="H95">
        <v>3942</v>
      </c>
      <c r="I95">
        <v>11826</v>
      </c>
    </row>
    <row r="96" spans="1:9" x14ac:dyDescent="0.3">
      <c r="A96">
        <v>1393</v>
      </c>
      <c r="B96" t="s">
        <v>221</v>
      </c>
      <c r="C96" t="s">
        <v>121</v>
      </c>
      <c r="D96" t="s">
        <v>30</v>
      </c>
      <c r="E96" t="s">
        <v>100</v>
      </c>
      <c r="F96" t="s">
        <v>53</v>
      </c>
      <c r="G96">
        <v>3</v>
      </c>
      <c r="H96">
        <v>379</v>
      </c>
      <c r="I96">
        <v>1137</v>
      </c>
    </row>
    <row r="97" spans="1:9" x14ac:dyDescent="0.3">
      <c r="A97">
        <v>1281</v>
      </c>
      <c r="B97" t="s">
        <v>102</v>
      </c>
      <c r="C97" t="s">
        <v>222</v>
      </c>
      <c r="D97" t="s">
        <v>30</v>
      </c>
      <c r="E97" t="s">
        <v>92</v>
      </c>
      <c r="F97" t="s">
        <v>57</v>
      </c>
      <c r="G97">
        <v>2</v>
      </c>
      <c r="H97">
        <v>3086</v>
      </c>
      <c r="I97">
        <v>6172</v>
      </c>
    </row>
    <row r="98" spans="1:9" x14ac:dyDescent="0.3">
      <c r="A98">
        <v>1256</v>
      </c>
      <c r="B98" t="s">
        <v>223</v>
      </c>
      <c r="C98" t="s">
        <v>224</v>
      </c>
      <c r="D98" t="s">
        <v>30</v>
      </c>
      <c r="E98" t="s">
        <v>17</v>
      </c>
      <c r="F98" t="s">
        <v>72</v>
      </c>
      <c r="G98">
        <v>4</v>
      </c>
      <c r="H98">
        <v>473</v>
      </c>
      <c r="I98">
        <v>1892</v>
      </c>
    </row>
    <row r="99" spans="1:9" x14ac:dyDescent="0.3">
      <c r="A99">
        <v>1092</v>
      </c>
      <c r="B99" t="s">
        <v>225</v>
      </c>
      <c r="C99" t="s">
        <v>226</v>
      </c>
      <c r="D99" t="s">
        <v>11</v>
      </c>
      <c r="E99" t="s">
        <v>49</v>
      </c>
      <c r="F99" t="s">
        <v>128</v>
      </c>
      <c r="G99">
        <v>5</v>
      </c>
      <c r="H99">
        <v>3197</v>
      </c>
      <c r="I99">
        <v>15985</v>
      </c>
    </row>
    <row r="100" spans="1:9" x14ac:dyDescent="0.3">
      <c r="A100">
        <v>1168</v>
      </c>
      <c r="B100" t="s">
        <v>227</v>
      </c>
      <c r="C100" t="s">
        <v>228</v>
      </c>
      <c r="D100" t="s">
        <v>25</v>
      </c>
      <c r="E100" t="s">
        <v>21</v>
      </c>
      <c r="F100" t="s">
        <v>22</v>
      </c>
      <c r="G100">
        <v>4</v>
      </c>
      <c r="H100">
        <v>816</v>
      </c>
      <c r="I100">
        <v>3264</v>
      </c>
    </row>
    <row r="101" spans="1:9" x14ac:dyDescent="0.3">
      <c r="A101">
        <v>1406</v>
      </c>
      <c r="B101" t="s">
        <v>229</v>
      </c>
      <c r="C101" t="s">
        <v>230</v>
      </c>
      <c r="D101" t="s">
        <v>30</v>
      </c>
      <c r="E101" t="s">
        <v>83</v>
      </c>
      <c r="F101" t="s">
        <v>78</v>
      </c>
      <c r="G101">
        <v>5</v>
      </c>
      <c r="H101">
        <v>1212</v>
      </c>
      <c r="I101">
        <v>6060</v>
      </c>
    </row>
    <row r="102" spans="1:9" x14ac:dyDescent="0.3">
      <c r="A102">
        <v>1268</v>
      </c>
      <c r="B102" t="s">
        <v>47</v>
      </c>
      <c r="C102" t="s">
        <v>182</v>
      </c>
      <c r="D102" t="s">
        <v>62</v>
      </c>
      <c r="E102" t="s">
        <v>12</v>
      </c>
      <c r="F102" t="s">
        <v>27</v>
      </c>
      <c r="G102">
        <v>1</v>
      </c>
      <c r="H102">
        <v>4799</v>
      </c>
      <c r="I102">
        <v>4799</v>
      </c>
    </row>
    <row r="103" spans="1:9" x14ac:dyDescent="0.3">
      <c r="A103">
        <v>1064</v>
      </c>
      <c r="B103" t="s">
        <v>33</v>
      </c>
      <c r="C103" t="s">
        <v>231</v>
      </c>
      <c r="D103" t="s">
        <v>25</v>
      </c>
      <c r="E103" t="s">
        <v>45</v>
      </c>
      <c r="F103" t="s">
        <v>22</v>
      </c>
      <c r="G103">
        <v>2</v>
      </c>
      <c r="H103">
        <v>571</v>
      </c>
      <c r="I103">
        <v>1142</v>
      </c>
    </row>
    <row r="104" spans="1:9" x14ac:dyDescent="0.3">
      <c r="A104">
        <v>1504</v>
      </c>
      <c r="B104" t="s">
        <v>232</v>
      </c>
      <c r="C104" t="s">
        <v>77</v>
      </c>
      <c r="D104" t="s">
        <v>52</v>
      </c>
      <c r="E104" t="s">
        <v>39</v>
      </c>
      <c r="F104" t="s">
        <v>18</v>
      </c>
      <c r="G104">
        <v>4</v>
      </c>
      <c r="H104">
        <v>3239</v>
      </c>
      <c r="I104">
        <v>12956</v>
      </c>
    </row>
    <row r="105" spans="1:9" x14ac:dyDescent="0.3">
      <c r="A105">
        <v>1553</v>
      </c>
      <c r="B105" t="s">
        <v>94</v>
      </c>
      <c r="C105" t="s">
        <v>71</v>
      </c>
      <c r="D105" t="s">
        <v>62</v>
      </c>
      <c r="E105" t="s">
        <v>17</v>
      </c>
      <c r="F105" t="s">
        <v>53</v>
      </c>
      <c r="G105">
        <v>5</v>
      </c>
      <c r="H105">
        <v>3543</v>
      </c>
      <c r="I105">
        <v>17715</v>
      </c>
    </row>
    <row r="106" spans="1:9" x14ac:dyDescent="0.3">
      <c r="A106">
        <v>1379</v>
      </c>
      <c r="B106" t="s">
        <v>233</v>
      </c>
      <c r="C106" t="s">
        <v>199</v>
      </c>
      <c r="D106" t="s">
        <v>25</v>
      </c>
      <c r="E106" t="s">
        <v>21</v>
      </c>
      <c r="F106" t="s">
        <v>128</v>
      </c>
      <c r="G106">
        <v>3</v>
      </c>
      <c r="H106">
        <v>4660</v>
      </c>
      <c r="I106">
        <v>13980</v>
      </c>
    </row>
    <row r="107" spans="1:9" x14ac:dyDescent="0.3">
      <c r="A107">
        <v>1062</v>
      </c>
      <c r="B107" t="s">
        <v>234</v>
      </c>
      <c r="C107" t="s">
        <v>177</v>
      </c>
      <c r="D107" t="s">
        <v>25</v>
      </c>
      <c r="E107" t="s">
        <v>140</v>
      </c>
      <c r="F107" t="s">
        <v>72</v>
      </c>
      <c r="G107">
        <v>2</v>
      </c>
      <c r="H107">
        <v>374</v>
      </c>
      <c r="I107">
        <v>748</v>
      </c>
    </row>
    <row r="108" spans="1:9" x14ac:dyDescent="0.3">
      <c r="A108">
        <v>1128</v>
      </c>
      <c r="B108" t="s">
        <v>235</v>
      </c>
      <c r="C108" t="s">
        <v>236</v>
      </c>
      <c r="D108" t="s">
        <v>16</v>
      </c>
      <c r="E108" t="s">
        <v>31</v>
      </c>
      <c r="F108" t="s">
        <v>57</v>
      </c>
      <c r="G108">
        <v>2</v>
      </c>
      <c r="H108">
        <v>2891</v>
      </c>
      <c r="I108">
        <v>5782</v>
      </c>
    </row>
    <row r="109" spans="1:9" x14ac:dyDescent="0.3">
      <c r="A109">
        <v>1002</v>
      </c>
      <c r="B109" t="s">
        <v>237</v>
      </c>
      <c r="C109" t="s">
        <v>238</v>
      </c>
      <c r="D109" t="s">
        <v>11</v>
      </c>
      <c r="E109" t="s">
        <v>100</v>
      </c>
      <c r="F109" t="s">
        <v>114</v>
      </c>
      <c r="G109">
        <v>1</v>
      </c>
      <c r="H109">
        <v>411</v>
      </c>
      <c r="I109">
        <v>411</v>
      </c>
    </row>
    <row r="110" spans="1:9" x14ac:dyDescent="0.3">
      <c r="A110">
        <v>1243</v>
      </c>
      <c r="B110" t="s">
        <v>174</v>
      </c>
      <c r="C110" t="s">
        <v>239</v>
      </c>
      <c r="D110" t="s">
        <v>42</v>
      </c>
      <c r="E110" t="s">
        <v>56</v>
      </c>
      <c r="F110" t="s">
        <v>93</v>
      </c>
      <c r="G110">
        <v>2</v>
      </c>
      <c r="H110">
        <v>3648</v>
      </c>
      <c r="I110">
        <v>7296</v>
      </c>
    </row>
    <row r="111" spans="1:9" x14ac:dyDescent="0.3">
      <c r="A111">
        <v>1487</v>
      </c>
      <c r="B111" t="s">
        <v>240</v>
      </c>
      <c r="C111" t="s">
        <v>241</v>
      </c>
      <c r="D111" t="s">
        <v>62</v>
      </c>
      <c r="E111" t="s">
        <v>89</v>
      </c>
      <c r="F111" t="s">
        <v>133</v>
      </c>
      <c r="G111">
        <v>5</v>
      </c>
      <c r="H111">
        <v>2014</v>
      </c>
      <c r="I111">
        <v>10070</v>
      </c>
    </row>
    <row r="112" spans="1:9" x14ac:dyDescent="0.3">
      <c r="A112">
        <v>1533</v>
      </c>
      <c r="B112" t="s">
        <v>242</v>
      </c>
      <c r="C112" t="s">
        <v>243</v>
      </c>
      <c r="D112" t="s">
        <v>52</v>
      </c>
      <c r="E112" t="s">
        <v>92</v>
      </c>
      <c r="F112" t="s">
        <v>32</v>
      </c>
      <c r="G112">
        <v>4</v>
      </c>
      <c r="H112">
        <v>1084</v>
      </c>
      <c r="I112">
        <v>4336</v>
      </c>
    </row>
    <row r="113" spans="1:9" x14ac:dyDescent="0.3">
      <c r="A113">
        <v>1075</v>
      </c>
      <c r="B113" t="s">
        <v>145</v>
      </c>
      <c r="C113" t="s">
        <v>239</v>
      </c>
      <c r="D113" t="s">
        <v>30</v>
      </c>
      <c r="E113" t="s">
        <v>39</v>
      </c>
      <c r="F113" t="s">
        <v>72</v>
      </c>
      <c r="G113">
        <v>5</v>
      </c>
      <c r="H113">
        <v>4995</v>
      </c>
      <c r="I113">
        <v>24975</v>
      </c>
    </row>
    <row r="114" spans="1:9" x14ac:dyDescent="0.3">
      <c r="A114">
        <v>1543</v>
      </c>
      <c r="B114" t="s">
        <v>244</v>
      </c>
      <c r="C114" t="s">
        <v>204</v>
      </c>
      <c r="D114" t="s">
        <v>16</v>
      </c>
      <c r="E114" t="s">
        <v>136</v>
      </c>
      <c r="F114" t="s">
        <v>124</v>
      </c>
      <c r="G114">
        <v>4</v>
      </c>
      <c r="H114">
        <v>3899</v>
      </c>
      <c r="I114">
        <v>15596</v>
      </c>
    </row>
    <row r="115" spans="1:9" x14ac:dyDescent="0.3">
      <c r="A115">
        <v>1464</v>
      </c>
      <c r="B115" t="s">
        <v>137</v>
      </c>
      <c r="C115" t="s">
        <v>245</v>
      </c>
      <c r="D115" t="s">
        <v>35</v>
      </c>
      <c r="E115" t="s">
        <v>92</v>
      </c>
      <c r="F115" t="s">
        <v>112</v>
      </c>
      <c r="G115">
        <v>3</v>
      </c>
      <c r="H115">
        <v>3266</v>
      </c>
      <c r="I115">
        <v>9798</v>
      </c>
    </row>
    <row r="116" spans="1:9" x14ac:dyDescent="0.3">
      <c r="A116">
        <v>1485</v>
      </c>
      <c r="B116" t="s">
        <v>246</v>
      </c>
      <c r="C116" t="s">
        <v>247</v>
      </c>
      <c r="D116" t="s">
        <v>25</v>
      </c>
      <c r="E116" t="s">
        <v>92</v>
      </c>
      <c r="F116" t="s">
        <v>32</v>
      </c>
      <c r="G116">
        <v>3</v>
      </c>
      <c r="H116">
        <v>1265</v>
      </c>
      <c r="I116">
        <v>3795</v>
      </c>
    </row>
    <row r="117" spans="1:9" x14ac:dyDescent="0.3">
      <c r="A117">
        <v>1575</v>
      </c>
      <c r="B117" t="s">
        <v>248</v>
      </c>
      <c r="C117" t="s">
        <v>249</v>
      </c>
      <c r="D117" t="s">
        <v>52</v>
      </c>
      <c r="E117" t="s">
        <v>56</v>
      </c>
      <c r="F117" t="s">
        <v>78</v>
      </c>
      <c r="G117">
        <v>1</v>
      </c>
      <c r="H117">
        <v>2556</v>
      </c>
      <c r="I117">
        <v>2556</v>
      </c>
    </row>
    <row r="118" spans="1:9" x14ac:dyDescent="0.3">
      <c r="A118">
        <v>1591</v>
      </c>
      <c r="B118" t="s">
        <v>205</v>
      </c>
      <c r="C118" t="s">
        <v>44</v>
      </c>
      <c r="D118" t="s">
        <v>25</v>
      </c>
      <c r="E118" t="s">
        <v>39</v>
      </c>
      <c r="F118" t="s">
        <v>53</v>
      </c>
      <c r="G118">
        <v>3</v>
      </c>
      <c r="H118">
        <v>4756</v>
      </c>
      <c r="I118">
        <v>14268</v>
      </c>
    </row>
    <row r="119" spans="1:9" x14ac:dyDescent="0.3">
      <c r="A119">
        <v>1587</v>
      </c>
      <c r="B119" t="s">
        <v>250</v>
      </c>
      <c r="C119" t="s">
        <v>251</v>
      </c>
      <c r="D119" t="s">
        <v>30</v>
      </c>
      <c r="E119" t="s">
        <v>136</v>
      </c>
      <c r="F119" t="s">
        <v>67</v>
      </c>
      <c r="G119">
        <v>1</v>
      </c>
      <c r="H119">
        <v>1677</v>
      </c>
      <c r="I119">
        <v>1677</v>
      </c>
    </row>
    <row r="120" spans="1:9" x14ac:dyDescent="0.3">
      <c r="A120">
        <v>1347</v>
      </c>
      <c r="B120" t="s">
        <v>117</v>
      </c>
      <c r="C120" t="s">
        <v>252</v>
      </c>
      <c r="D120" t="s">
        <v>25</v>
      </c>
      <c r="E120" t="s">
        <v>140</v>
      </c>
      <c r="F120" t="s">
        <v>114</v>
      </c>
      <c r="G120">
        <v>2</v>
      </c>
      <c r="H120">
        <v>451</v>
      </c>
      <c r="I120">
        <v>902</v>
      </c>
    </row>
    <row r="121" spans="1:9" x14ac:dyDescent="0.3">
      <c r="A121">
        <v>1385</v>
      </c>
      <c r="B121" t="s">
        <v>94</v>
      </c>
      <c r="C121" t="s">
        <v>204</v>
      </c>
      <c r="D121" t="s">
        <v>30</v>
      </c>
      <c r="E121" t="s">
        <v>36</v>
      </c>
      <c r="F121" t="s">
        <v>13</v>
      </c>
      <c r="G121">
        <v>3</v>
      </c>
      <c r="H121">
        <v>4849</v>
      </c>
      <c r="I121">
        <v>14547</v>
      </c>
    </row>
    <row r="122" spans="1:9" x14ac:dyDescent="0.3">
      <c r="A122">
        <v>1159</v>
      </c>
      <c r="B122" t="s">
        <v>253</v>
      </c>
      <c r="C122" t="s">
        <v>224</v>
      </c>
      <c r="D122" t="s">
        <v>62</v>
      </c>
      <c r="E122" t="s">
        <v>56</v>
      </c>
      <c r="F122" t="s">
        <v>32</v>
      </c>
      <c r="G122">
        <v>4</v>
      </c>
      <c r="H122">
        <v>4178</v>
      </c>
      <c r="I122">
        <v>16712</v>
      </c>
    </row>
    <row r="123" spans="1:9" x14ac:dyDescent="0.3">
      <c r="A123">
        <v>1220</v>
      </c>
      <c r="B123" t="s">
        <v>254</v>
      </c>
      <c r="C123" t="s">
        <v>157</v>
      </c>
      <c r="D123" t="s">
        <v>30</v>
      </c>
      <c r="E123" t="s">
        <v>89</v>
      </c>
      <c r="F123" t="s">
        <v>75</v>
      </c>
      <c r="G123">
        <v>5</v>
      </c>
      <c r="H123">
        <v>4186</v>
      </c>
      <c r="I123">
        <v>20930</v>
      </c>
    </row>
    <row r="124" spans="1:9" x14ac:dyDescent="0.3">
      <c r="A124">
        <v>1225</v>
      </c>
      <c r="B124" t="s">
        <v>255</v>
      </c>
      <c r="C124" t="s">
        <v>256</v>
      </c>
      <c r="D124" t="s">
        <v>30</v>
      </c>
      <c r="E124" t="s">
        <v>31</v>
      </c>
      <c r="F124" t="s">
        <v>32</v>
      </c>
      <c r="G124">
        <v>2</v>
      </c>
      <c r="H124">
        <v>1324</v>
      </c>
      <c r="I124">
        <v>2648</v>
      </c>
    </row>
    <row r="125" spans="1:9" x14ac:dyDescent="0.3">
      <c r="A125">
        <v>1122</v>
      </c>
      <c r="B125" t="s">
        <v>257</v>
      </c>
      <c r="C125" t="s">
        <v>258</v>
      </c>
      <c r="D125" t="s">
        <v>52</v>
      </c>
      <c r="E125" t="s">
        <v>49</v>
      </c>
      <c r="F125" t="s">
        <v>128</v>
      </c>
      <c r="G125">
        <v>5</v>
      </c>
      <c r="H125">
        <v>2085</v>
      </c>
      <c r="I125">
        <v>10425</v>
      </c>
    </row>
    <row r="126" spans="1:9" x14ac:dyDescent="0.3">
      <c r="A126">
        <v>1362</v>
      </c>
      <c r="B126" t="s">
        <v>259</v>
      </c>
      <c r="C126" t="s">
        <v>260</v>
      </c>
      <c r="D126" t="s">
        <v>62</v>
      </c>
      <c r="E126" t="s">
        <v>83</v>
      </c>
      <c r="F126" t="s">
        <v>78</v>
      </c>
      <c r="G126">
        <v>1</v>
      </c>
      <c r="H126">
        <v>2764</v>
      </c>
      <c r="I126">
        <v>2764</v>
      </c>
    </row>
    <row r="127" spans="1:9" x14ac:dyDescent="0.3">
      <c r="A127">
        <v>1427</v>
      </c>
      <c r="B127" t="s">
        <v>261</v>
      </c>
      <c r="C127" t="s">
        <v>157</v>
      </c>
      <c r="D127" t="s">
        <v>11</v>
      </c>
      <c r="E127" t="s">
        <v>21</v>
      </c>
      <c r="F127" t="s">
        <v>124</v>
      </c>
      <c r="G127">
        <v>5</v>
      </c>
      <c r="H127">
        <v>3969</v>
      </c>
      <c r="I127">
        <v>19845</v>
      </c>
    </row>
    <row r="128" spans="1:9" x14ac:dyDescent="0.3">
      <c r="A128">
        <v>1090</v>
      </c>
      <c r="B128" t="s">
        <v>262</v>
      </c>
      <c r="C128" t="s">
        <v>263</v>
      </c>
      <c r="D128" t="s">
        <v>52</v>
      </c>
      <c r="E128" t="s">
        <v>92</v>
      </c>
      <c r="F128" t="s">
        <v>93</v>
      </c>
      <c r="G128">
        <v>5</v>
      </c>
      <c r="H128">
        <v>844</v>
      </c>
      <c r="I128">
        <v>4220</v>
      </c>
    </row>
    <row r="129" spans="1:9" x14ac:dyDescent="0.3">
      <c r="A129">
        <v>1347</v>
      </c>
      <c r="B129" t="s">
        <v>264</v>
      </c>
      <c r="C129" t="s">
        <v>265</v>
      </c>
      <c r="D129" t="s">
        <v>16</v>
      </c>
      <c r="E129" t="s">
        <v>17</v>
      </c>
      <c r="F129" t="s">
        <v>72</v>
      </c>
      <c r="G129">
        <v>3</v>
      </c>
      <c r="H129">
        <v>3076</v>
      </c>
      <c r="I129">
        <v>9228</v>
      </c>
    </row>
    <row r="130" spans="1:9" x14ac:dyDescent="0.3">
      <c r="A130">
        <v>1151</v>
      </c>
      <c r="B130" t="s">
        <v>266</v>
      </c>
      <c r="C130" t="s">
        <v>267</v>
      </c>
      <c r="D130" t="s">
        <v>11</v>
      </c>
      <c r="E130" t="s">
        <v>39</v>
      </c>
      <c r="F130" t="s">
        <v>101</v>
      </c>
      <c r="G130">
        <v>5</v>
      </c>
      <c r="H130">
        <v>1452</v>
      </c>
      <c r="I130">
        <v>7260</v>
      </c>
    </row>
    <row r="131" spans="1:9" x14ac:dyDescent="0.3">
      <c r="A131">
        <v>1181</v>
      </c>
      <c r="B131" t="s">
        <v>268</v>
      </c>
      <c r="C131" t="s">
        <v>269</v>
      </c>
      <c r="D131" t="s">
        <v>35</v>
      </c>
      <c r="E131" t="s">
        <v>45</v>
      </c>
      <c r="F131" t="s">
        <v>67</v>
      </c>
      <c r="G131">
        <v>3</v>
      </c>
      <c r="H131">
        <v>1436</v>
      </c>
      <c r="I131">
        <v>4308</v>
      </c>
    </row>
    <row r="132" spans="1:9" x14ac:dyDescent="0.3">
      <c r="A132">
        <v>1310</v>
      </c>
      <c r="B132" t="s">
        <v>270</v>
      </c>
      <c r="C132" t="s">
        <v>271</v>
      </c>
      <c r="D132" t="s">
        <v>30</v>
      </c>
      <c r="E132" t="s">
        <v>83</v>
      </c>
      <c r="F132" t="s">
        <v>112</v>
      </c>
      <c r="G132">
        <v>4</v>
      </c>
      <c r="H132">
        <v>3902</v>
      </c>
      <c r="I132">
        <v>15608</v>
      </c>
    </row>
    <row r="133" spans="1:9" x14ac:dyDescent="0.3">
      <c r="A133">
        <v>1293</v>
      </c>
      <c r="B133" t="s">
        <v>272</v>
      </c>
      <c r="C133" t="s">
        <v>273</v>
      </c>
      <c r="D133" t="s">
        <v>62</v>
      </c>
      <c r="E133" t="s">
        <v>92</v>
      </c>
      <c r="F133" t="s">
        <v>57</v>
      </c>
      <c r="G133">
        <v>5</v>
      </c>
      <c r="H133">
        <v>4740</v>
      </c>
      <c r="I133">
        <v>23700</v>
      </c>
    </row>
    <row r="134" spans="1:9" x14ac:dyDescent="0.3">
      <c r="A134">
        <v>1042</v>
      </c>
      <c r="B134" t="s">
        <v>184</v>
      </c>
      <c r="C134" t="s">
        <v>274</v>
      </c>
      <c r="D134" t="s">
        <v>11</v>
      </c>
      <c r="E134" t="s">
        <v>140</v>
      </c>
      <c r="F134" t="s">
        <v>101</v>
      </c>
      <c r="G134">
        <v>1</v>
      </c>
      <c r="H134">
        <v>3890</v>
      </c>
      <c r="I134">
        <v>3890</v>
      </c>
    </row>
    <row r="135" spans="1:9" x14ac:dyDescent="0.3">
      <c r="A135">
        <v>1351</v>
      </c>
      <c r="B135" t="s">
        <v>68</v>
      </c>
      <c r="C135" t="s">
        <v>132</v>
      </c>
      <c r="D135" t="s">
        <v>62</v>
      </c>
      <c r="E135" t="s">
        <v>39</v>
      </c>
      <c r="F135" t="s">
        <v>72</v>
      </c>
      <c r="G135">
        <v>4</v>
      </c>
      <c r="H135">
        <v>4493</v>
      </c>
      <c r="I135">
        <v>17972</v>
      </c>
    </row>
    <row r="136" spans="1:9" x14ac:dyDescent="0.3">
      <c r="A136">
        <v>1381</v>
      </c>
      <c r="B136" t="s">
        <v>275</v>
      </c>
      <c r="C136" t="s">
        <v>276</v>
      </c>
      <c r="D136" t="s">
        <v>35</v>
      </c>
      <c r="E136" t="s">
        <v>136</v>
      </c>
      <c r="F136" t="s">
        <v>22</v>
      </c>
      <c r="G136">
        <v>1</v>
      </c>
      <c r="H136">
        <v>2900</v>
      </c>
      <c r="I136">
        <v>2900</v>
      </c>
    </row>
    <row r="137" spans="1:9" x14ac:dyDescent="0.3">
      <c r="A137">
        <v>1290</v>
      </c>
      <c r="B137" t="s">
        <v>277</v>
      </c>
      <c r="C137" t="s">
        <v>278</v>
      </c>
      <c r="D137" t="s">
        <v>11</v>
      </c>
      <c r="E137" t="s">
        <v>17</v>
      </c>
      <c r="F137" t="s">
        <v>101</v>
      </c>
      <c r="G137">
        <v>3</v>
      </c>
      <c r="H137">
        <v>2741</v>
      </c>
      <c r="I137">
        <v>8223</v>
      </c>
    </row>
    <row r="138" spans="1:9" x14ac:dyDescent="0.3">
      <c r="A138">
        <v>1401</v>
      </c>
      <c r="B138" t="s">
        <v>279</v>
      </c>
      <c r="C138" t="s">
        <v>189</v>
      </c>
      <c r="D138" t="s">
        <v>35</v>
      </c>
      <c r="E138" t="s">
        <v>92</v>
      </c>
      <c r="F138" t="s">
        <v>112</v>
      </c>
      <c r="G138">
        <v>2</v>
      </c>
      <c r="H138">
        <v>4512</v>
      </c>
      <c r="I138">
        <v>9024</v>
      </c>
    </row>
    <row r="139" spans="1:9" x14ac:dyDescent="0.3">
      <c r="A139">
        <v>1520</v>
      </c>
      <c r="B139" t="s">
        <v>280</v>
      </c>
      <c r="C139" t="s">
        <v>281</v>
      </c>
      <c r="D139" t="s">
        <v>16</v>
      </c>
      <c r="E139" t="s">
        <v>12</v>
      </c>
      <c r="F139" t="s">
        <v>95</v>
      </c>
      <c r="G139">
        <v>3</v>
      </c>
      <c r="H139">
        <v>4183</v>
      </c>
      <c r="I139">
        <v>12549</v>
      </c>
    </row>
    <row r="140" spans="1:9" x14ac:dyDescent="0.3">
      <c r="A140">
        <v>1158</v>
      </c>
      <c r="B140" t="s">
        <v>272</v>
      </c>
      <c r="C140" t="s">
        <v>282</v>
      </c>
      <c r="D140" t="s">
        <v>35</v>
      </c>
      <c r="E140" t="s">
        <v>83</v>
      </c>
      <c r="F140" t="s">
        <v>57</v>
      </c>
      <c r="G140">
        <v>5</v>
      </c>
      <c r="H140">
        <v>1273</v>
      </c>
      <c r="I140">
        <v>6365</v>
      </c>
    </row>
    <row r="141" spans="1:9" x14ac:dyDescent="0.3">
      <c r="A141">
        <v>1185</v>
      </c>
      <c r="B141" t="s">
        <v>283</v>
      </c>
      <c r="C141" t="s">
        <v>284</v>
      </c>
      <c r="D141" t="s">
        <v>52</v>
      </c>
      <c r="E141" t="s">
        <v>17</v>
      </c>
      <c r="F141" t="s">
        <v>53</v>
      </c>
      <c r="G141">
        <v>3</v>
      </c>
      <c r="H141">
        <v>2145</v>
      </c>
      <c r="I141">
        <v>6435</v>
      </c>
    </row>
    <row r="142" spans="1:9" x14ac:dyDescent="0.3">
      <c r="A142">
        <v>1459</v>
      </c>
      <c r="B142" t="s">
        <v>285</v>
      </c>
      <c r="C142" t="s">
        <v>286</v>
      </c>
      <c r="D142" t="s">
        <v>16</v>
      </c>
      <c r="E142" t="s">
        <v>140</v>
      </c>
      <c r="F142" t="s">
        <v>101</v>
      </c>
      <c r="G142">
        <v>3</v>
      </c>
      <c r="H142">
        <v>4872</v>
      </c>
      <c r="I142">
        <v>14616</v>
      </c>
    </row>
    <row r="143" spans="1:9" x14ac:dyDescent="0.3">
      <c r="A143">
        <v>1288</v>
      </c>
      <c r="B143" t="s">
        <v>287</v>
      </c>
      <c r="C143" t="s">
        <v>288</v>
      </c>
      <c r="D143" t="s">
        <v>11</v>
      </c>
      <c r="E143" t="s">
        <v>49</v>
      </c>
      <c r="F143" t="s">
        <v>128</v>
      </c>
      <c r="G143">
        <v>3</v>
      </c>
      <c r="H143">
        <v>627</v>
      </c>
      <c r="I143">
        <v>1881</v>
      </c>
    </row>
    <row r="144" spans="1:9" x14ac:dyDescent="0.3">
      <c r="A144">
        <v>1567</v>
      </c>
      <c r="B144" t="s">
        <v>160</v>
      </c>
      <c r="C144" t="s">
        <v>289</v>
      </c>
      <c r="D144" t="s">
        <v>11</v>
      </c>
      <c r="E144" t="s">
        <v>83</v>
      </c>
      <c r="F144" t="s">
        <v>112</v>
      </c>
      <c r="G144">
        <v>3</v>
      </c>
      <c r="H144">
        <v>3880</v>
      </c>
      <c r="I144">
        <v>11640</v>
      </c>
    </row>
    <row r="145" spans="1:9" x14ac:dyDescent="0.3">
      <c r="A145">
        <v>1447</v>
      </c>
      <c r="B145" t="s">
        <v>290</v>
      </c>
      <c r="C145" t="s">
        <v>202</v>
      </c>
      <c r="D145" t="s">
        <v>42</v>
      </c>
      <c r="E145" t="s">
        <v>100</v>
      </c>
      <c r="F145" t="s">
        <v>53</v>
      </c>
      <c r="G145">
        <v>4</v>
      </c>
      <c r="H145">
        <v>636</v>
      </c>
      <c r="I145">
        <v>2544</v>
      </c>
    </row>
    <row r="146" spans="1:9" x14ac:dyDescent="0.3">
      <c r="A146">
        <v>1395</v>
      </c>
      <c r="B146" t="s">
        <v>145</v>
      </c>
      <c r="C146" t="s">
        <v>291</v>
      </c>
      <c r="D146" t="s">
        <v>25</v>
      </c>
      <c r="E146" t="s">
        <v>100</v>
      </c>
      <c r="F146" t="s">
        <v>72</v>
      </c>
      <c r="G146">
        <v>3</v>
      </c>
      <c r="H146">
        <v>1396</v>
      </c>
      <c r="I146">
        <v>4188</v>
      </c>
    </row>
    <row r="147" spans="1:9" x14ac:dyDescent="0.3">
      <c r="A147">
        <v>1483</v>
      </c>
      <c r="B147" t="s">
        <v>292</v>
      </c>
      <c r="C147" t="s">
        <v>293</v>
      </c>
      <c r="D147" t="s">
        <v>42</v>
      </c>
      <c r="E147" t="s">
        <v>140</v>
      </c>
      <c r="F147" t="s">
        <v>53</v>
      </c>
      <c r="G147">
        <v>1</v>
      </c>
      <c r="H147">
        <v>355</v>
      </c>
      <c r="I147">
        <v>355</v>
      </c>
    </row>
    <row r="148" spans="1:9" x14ac:dyDescent="0.3">
      <c r="A148">
        <v>1561</v>
      </c>
      <c r="B148" t="s">
        <v>37</v>
      </c>
      <c r="C148" t="s">
        <v>294</v>
      </c>
      <c r="D148" t="s">
        <v>16</v>
      </c>
      <c r="E148" t="s">
        <v>21</v>
      </c>
      <c r="F148" t="s">
        <v>124</v>
      </c>
      <c r="G148">
        <v>3</v>
      </c>
      <c r="H148">
        <v>1198</v>
      </c>
      <c r="I148">
        <v>3594</v>
      </c>
    </row>
    <row r="149" spans="1:9" x14ac:dyDescent="0.3">
      <c r="A149">
        <v>1468</v>
      </c>
      <c r="B149" t="s">
        <v>295</v>
      </c>
      <c r="C149" t="s">
        <v>296</v>
      </c>
      <c r="D149" t="s">
        <v>16</v>
      </c>
      <c r="E149" t="s">
        <v>136</v>
      </c>
      <c r="F149" t="s">
        <v>67</v>
      </c>
      <c r="G149">
        <v>2</v>
      </c>
      <c r="H149">
        <v>2586</v>
      </c>
      <c r="I149">
        <v>5172</v>
      </c>
    </row>
    <row r="150" spans="1:9" x14ac:dyDescent="0.3">
      <c r="A150">
        <v>1246</v>
      </c>
      <c r="B150" t="s">
        <v>297</v>
      </c>
      <c r="C150" t="s">
        <v>245</v>
      </c>
      <c r="D150" t="s">
        <v>25</v>
      </c>
      <c r="E150" t="s">
        <v>100</v>
      </c>
      <c r="F150" t="s">
        <v>72</v>
      </c>
      <c r="G150">
        <v>5</v>
      </c>
      <c r="H150">
        <v>4657</v>
      </c>
      <c r="I150">
        <v>23285</v>
      </c>
    </row>
    <row r="151" spans="1:9" x14ac:dyDescent="0.3">
      <c r="A151">
        <v>1567</v>
      </c>
      <c r="B151" t="s">
        <v>298</v>
      </c>
      <c r="C151" t="s">
        <v>276</v>
      </c>
      <c r="D151" t="s">
        <v>35</v>
      </c>
      <c r="E151" t="s">
        <v>45</v>
      </c>
      <c r="F151" t="s">
        <v>124</v>
      </c>
      <c r="G151">
        <v>3</v>
      </c>
      <c r="H151">
        <v>333</v>
      </c>
      <c r="I151">
        <v>999</v>
      </c>
    </row>
    <row r="152" spans="1:9" x14ac:dyDescent="0.3">
      <c r="A152">
        <v>1246</v>
      </c>
      <c r="B152" t="s">
        <v>299</v>
      </c>
      <c r="C152" t="s">
        <v>51</v>
      </c>
      <c r="D152" t="s">
        <v>11</v>
      </c>
      <c r="E152" t="s">
        <v>56</v>
      </c>
      <c r="F152" t="s">
        <v>57</v>
      </c>
      <c r="G152">
        <v>1</v>
      </c>
      <c r="H152">
        <v>3086</v>
      </c>
      <c r="I152">
        <v>3086</v>
      </c>
    </row>
    <row r="153" spans="1:9" x14ac:dyDescent="0.3">
      <c r="A153">
        <v>1179</v>
      </c>
      <c r="B153" t="s">
        <v>300</v>
      </c>
      <c r="C153" t="s">
        <v>301</v>
      </c>
      <c r="D153" t="s">
        <v>25</v>
      </c>
      <c r="E153" t="s">
        <v>49</v>
      </c>
      <c r="F153" t="s">
        <v>128</v>
      </c>
      <c r="G153">
        <v>4</v>
      </c>
      <c r="H153">
        <v>502</v>
      </c>
      <c r="I153">
        <v>2008</v>
      </c>
    </row>
    <row r="154" spans="1:9" x14ac:dyDescent="0.3">
      <c r="A154">
        <v>1204</v>
      </c>
      <c r="B154" t="s">
        <v>302</v>
      </c>
      <c r="C154" t="s">
        <v>97</v>
      </c>
      <c r="D154" t="s">
        <v>62</v>
      </c>
      <c r="E154" t="s">
        <v>26</v>
      </c>
      <c r="F154" t="s">
        <v>133</v>
      </c>
      <c r="G154">
        <v>3</v>
      </c>
      <c r="H154">
        <v>499</v>
      </c>
      <c r="I154">
        <v>1497</v>
      </c>
    </row>
    <row r="155" spans="1:9" x14ac:dyDescent="0.3">
      <c r="A155">
        <v>1365</v>
      </c>
      <c r="B155" t="s">
        <v>303</v>
      </c>
      <c r="C155" t="s">
        <v>116</v>
      </c>
      <c r="D155" t="s">
        <v>35</v>
      </c>
      <c r="E155" t="s">
        <v>89</v>
      </c>
      <c r="F155" t="s">
        <v>95</v>
      </c>
      <c r="G155">
        <v>4</v>
      </c>
      <c r="H155">
        <v>3476</v>
      </c>
      <c r="I155">
        <v>13904</v>
      </c>
    </row>
    <row r="156" spans="1:9" x14ac:dyDescent="0.3">
      <c r="A156">
        <v>1395</v>
      </c>
      <c r="B156" t="s">
        <v>304</v>
      </c>
      <c r="C156" t="s">
        <v>305</v>
      </c>
      <c r="D156" t="s">
        <v>35</v>
      </c>
      <c r="E156" t="s">
        <v>140</v>
      </c>
      <c r="F156" t="s">
        <v>53</v>
      </c>
      <c r="G156">
        <v>5</v>
      </c>
      <c r="H156">
        <v>2384</v>
      </c>
      <c r="I156">
        <v>11920</v>
      </c>
    </row>
    <row r="157" spans="1:9" x14ac:dyDescent="0.3">
      <c r="A157">
        <v>1080</v>
      </c>
      <c r="B157" t="s">
        <v>306</v>
      </c>
      <c r="C157" t="s">
        <v>24</v>
      </c>
      <c r="D157" t="s">
        <v>35</v>
      </c>
      <c r="E157" t="s">
        <v>100</v>
      </c>
      <c r="F157" t="s">
        <v>18</v>
      </c>
      <c r="G157">
        <v>1</v>
      </c>
      <c r="H157">
        <v>855</v>
      </c>
      <c r="I157">
        <v>855</v>
      </c>
    </row>
    <row r="158" spans="1:9" x14ac:dyDescent="0.3">
      <c r="A158">
        <v>1456</v>
      </c>
      <c r="B158" t="s">
        <v>307</v>
      </c>
      <c r="C158" t="s">
        <v>308</v>
      </c>
      <c r="D158" t="s">
        <v>35</v>
      </c>
      <c r="E158" t="s">
        <v>45</v>
      </c>
      <c r="F158" t="s">
        <v>128</v>
      </c>
      <c r="G158">
        <v>4</v>
      </c>
      <c r="H158">
        <v>546</v>
      </c>
      <c r="I158">
        <v>2184</v>
      </c>
    </row>
    <row r="159" spans="1:9" x14ac:dyDescent="0.3">
      <c r="A159">
        <v>1445</v>
      </c>
      <c r="B159" t="s">
        <v>270</v>
      </c>
      <c r="C159" t="s">
        <v>309</v>
      </c>
      <c r="D159" t="s">
        <v>35</v>
      </c>
      <c r="E159" t="s">
        <v>92</v>
      </c>
      <c r="F159" t="s">
        <v>32</v>
      </c>
      <c r="G159">
        <v>5</v>
      </c>
      <c r="H159">
        <v>1510</v>
      </c>
      <c r="I159">
        <v>7550</v>
      </c>
    </row>
    <row r="160" spans="1:9" x14ac:dyDescent="0.3">
      <c r="A160">
        <v>1448</v>
      </c>
      <c r="B160" t="s">
        <v>310</v>
      </c>
      <c r="C160" t="s">
        <v>311</v>
      </c>
      <c r="D160" t="s">
        <v>35</v>
      </c>
      <c r="E160" t="s">
        <v>56</v>
      </c>
      <c r="F160" t="s">
        <v>93</v>
      </c>
      <c r="G160">
        <v>4</v>
      </c>
      <c r="H160">
        <v>4846</v>
      </c>
      <c r="I160">
        <v>19384</v>
      </c>
    </row>
    <row r="161" spans="1:9" x14ac:dyDescent="0.3">
      <c r="A161">
        <v>1460</v>
      </c>
      <c r="B161" t="s">
        <v>312</v>
      </c>
      <c r="C161" t="s">
        <v>291</v>
      </c>
      <c r="D161" t="s">
        <v>35</v>
      </c>
      <c r="E161" t="s">
        <v>49</v>
      </c>
      <c r="F161" t="s">
        <v>124</v>
      </c>
      <c r="G161">
        <v>4</v>
      </c>
      <c r="H161">
        <v>2775</v>
      </c>
      <c r="I161">
        <v>11100</v>
      </c>
    </row>
    <row r="162" spans="1:9" x14ac:dyDescent="0.3">
      <c r="A162">
        <v>1116</v>
      </c>
      <c r="B162" t="s">
        <v>313</v>
      </c>
      <c r="C162" t="s">
        <v>314</v>
      </c>
      <c r="D162" t="s">
        <v>25</v>
      </c>
      <c r="E162" t="s">
        <v>140</v>
      </c>
      <c r="F162" t="s">
        <v>53</v>
      </c>
      <c r="G162">
        <v>3</v>
      </c>
      <c r="H162">
        <v>2332</v>
      </c>
      <c r="I162">
        <v>6996</v>
      </c>
    </row>
    <row r="163" spans="1:9" x14ac:dyDescent="0.3">
      <c r="A163">
        <v>1292</v>
      </c>
      <c r="B163" t="s">
        <v>315</v>
      </c>
      <c r="C163" t="s">
        <v>316</v>
      </c>
      <c r="D163" t="s">
        <v>11</v>
      </c>
      <c r="E163" t="s">
        <v>136</v>
      </c>
      <c r="F163" t="s">
        <v>128</v>
      </c>
      <c r="G163">
        <v>1</v>
      </c>
      <c r="H163">
        <v>3903</v>
      </c>
      <c r="I163">
        <v>3903</v>
      </c>
    </row>
    <row r="164" spans="1:9" x14ac:dyDescent="0.3">
      <c r="A164">
        <v>1089</v>
      </c>
      <c r="B164" t="s">
        <v>317</v>
      </c>
      <c r="C164" t="s">
        <v>318</v>
      </c>
      <c r="D164" t="s">
        <v>30</v>
      </c>
      <c r="E164" t="s">
        <v>89</v>
      </c>
      <c r="F164" t="s">
        <v>95</v>
      </c>
      <c r="G164">
        <v>3</v>
      </c>
      <c r="H164">
        <v>1490</v>
      </c>
      <c r="I164">
        <v>4470</v>
      </c>
    </row>
    <row r="165" spans="1:9" x14ac:dyDescent="0.3">
      <c r="A165">
        <v>1178</v>
      </c>
      <c r="B165" t="s">
        <v>280</v>
      </c>
      <c r="C165" t="s">
        <v>319</v>
      </c>
      <c r="D165" t="s">
        <v>11</v>
      </c>
      <c r="E165" t="s">
        <v>39</v>
      </c>
      <c r="F165" t="s">
        <v>72</v>
      </c>
      <c r="G165">
        <v>2</v>
      </c>
      <c r="H165">
        <v>4247</v>
      </c>
      <c r="I165">
        <v>8494</v>
      </c>
    </row>
    <row r="166" spans="1:9" x14ac:dyDescent="0.3">
      <c r="A166">
        <v>1377</v>
      </c>
      <c r="B166" t="s">
        <v>320</v>
      </c>
      <c r="C166" t="s">
        <v>321</v>
      </c>
      <c r="D166" t="s">
        <v>25</v>
      </c>
      <c r="E166" t="s">
        <v>17</v>
      </c>
      <c r="F166" t="s">
        <v>18</v>
      </c>
      <c r="G166">
        <v>3</v>
      </c>
      <c r="H166">
        <v>3461</v>
      </c>
      <c r="I166">
        <v>10383</v>
      </c>
    </row>
    <row r="167" spans="1:9" x14ac:dyDescent="0.3">
      <c r="A167">
        <v>1538</v>
      </c>
      <c r="B167" t="s">
        <v>322</v>
      </c>
      <c r="C167" t="s">
        <v>323</v>
      </c>
      <c r="D167" t="s">
        <v>11</v>
      </c>
      <c r="E167" t="s">
        <v>136</v>
      </c>
      <c r="F167" t="s">
        <v>67</v>
      </c>
      <c r="G167">
        <v>3</v>
      </c>
      <c r="H167">
        <v>807</v>
      </c>
      <c r="I167">
        <v>2421</v>
      </c>
    </row>
    <row r="168" spans="1:9" x14ac:dyDescent="0.3">
      <c r="A168">
        <v>1352</v>
      </c>
      <c r="B168" t="s">
        <v>65</v>
      </c>
      <c r="C168" t="s">
        <v>324</v>
      </c>
      <c r="D168" t="s">
        <v>42</v>
      </c>
      <c r="E168" t="s">
        <v>140</v>
      </c>
      <c r="F168" t="s">
        <v>114</v>
      </c>
      <c r="G168">
        <v>1</v>
      </c>
      <c r="H168">
        <v>4444</v>
      </c>
      <c r="I168">
        <v>4444</v>
      </c>
    </row>
    <row r="169" spans="1:9" x14ac:dyDescent="0.3">
      <c r="A169">
        <v>1330</v>
      </c>
      <c r="B169" t="s">
        <v>325</v>
      </c>
      <c r="C169" t="s">
        <v>326</v>
      </c>
      <c r="D169" t="s">
        <v>25</v>
      </c>
      <c r="E169" t="s">
        <v>36</v>
      </c>
      <c r="F169" t="s">
        <v>133</v>
      </c>
      <c r="G169">
        <v>3</v>
      </c>
      <c r="H169">
        <v>1808</v>
      </c>
      <c r="I169">
        <v>5424</v>
      </c>
    </row>
    <row r="170" spans="1:9" x14ac:dyDescent="0.3">
      <c r="A170">
        <v>1128</v>
      </c>
      <c r="B170" t="s">
        <v>198</v>
      </c>
      <c r="C170" t="s">
        <v>327</v>
      </c>
      <c r="D170" t="s">
        <v>11</v>
      </c>
      <c r="E170" t="s">
        <v>31</v>
      </c>
      <c r="F170" t="s">
        <v>57</v>
      </c>
      <c r="G170">
        <v>2</v>
      </c>
      <c r="H170">
        <v>2965</v>
      </c>
      <c r="I170">
        <v>5930</v>
      </c>
    </row>
    <row r="171" spans="1:9" x14ac:dyDescent="0.3">
      <c r="A171">
        <v>1029</v>
      </c>
      <c r="B171" t="s">
        <v>145</v>
      </c>
      <c r="C171" t="s">
        <v>123</v>
      </c>
      <c r="D171" t="s">
        <v>42</v>
      </c>
      <c r="E171" t="s">
        <v>26</v>
      </c>
      <c r="F171" t="s">
        <v>13</v>
      </c>
      <c r="G171">
        <v>4</v>
      </c>
      <c r="H171">
        <v>4669</v>
      </c>
      <c r="I171">
        <v>18676</v>
      </c>
    </row>
    <row r="172" spans="1:9" x14ac:dyDescent="0.3">
      <c r="A172">
        <v>1494</v>
      </c>
      <c r="B172" t="s">
        <v>328</v>
      </c>
      <c r="C172" t="s">
        <v>251</v>
      </c>
      <c r="D172" t="s">
        <v>25</v>
      </c>
      <c r="E172" t="s">
        <v>45</v>
      </c>
      <c r="F172" t="s">
        <v>22</v>
      </c>
      <c r="G172">
        <v>1</v>
      </c>
      <c r="H172">
        <v>1494</v>
      </c>
      <c r="I172">
        <v>1494</v>
      </c>
    </row>
    <row r="173" spans="1:9" x14ac:dyDescent="0.3">
      <c r="A173">
        <v>1208</v>
      </c>
      <c r="B173" t="s">
        <v>329</v>
      </c>
      <c r="C173" t="s">
        <v>201</v>
      </c>
      <c r="D173" t="s">
        <v>35</v>
      </c>
      <c r="E173" t="s">
        <v>100</v>
      </c>
      <c r="F173" t="s">
        <v>101</v>
      </c>
      <c r="G173">
        <v>4</v>
      </c>
      <c r="H173">
        <v>1271</v>
      </c>
      <c r="I173">
        <v>5084</v>
      </c>
    </row>
    <row r="174" spans="1:9" x14ac:dyDescent="0.3">
      <c r="A174">
        <v>1108</v>
      </c>
      <c r="B174" t="s">
        <v>330</v>
      </c>
      <c r="C174" t="s">
        <v>331</v>
      </c>
      <c r="D174" t="s">
        <v>62</v>
      </c>
      <c r="E174" t="s">
        <v>21</v>
      </c>
      <c r="F174" t="s">
        <v>124</v>
      </c>
      <c r="G174">
        <v>2</v>
      </c>
      <c r="H174">
        <v>1354</v>
      </c>
      <c r="I174">
        <v>2708</v>
      </c>
    </row>
    <row r="175" spans="1:9" x14ac:dyDescent="0.3">
      <c r="A175">
        <v>1393</v>
      </c>
      <c r="B175" t="s">
        <v>332</v>
      </c>
      <c r="C175" t="s">
        <v>333</v>
      </c>
      <c r="D175" t="s">
        <v>35</v>
      </c>
      <c r="E175" t="s">
        <v>100</v>
      </c>
      <c r="F175" t="s">
        <v>114</v>
      </c>
      <c r="G175">
        <v>2</v>
      </c>
      <c r="H175">
        <v>1505</v>
      </c>
      <c r="I175">
        <v>3010</v>
      </c>
    </row>
    <row r="176" spans="1:9" x14ac:dyDescent="0.3">
      <c r="A176">
        <v>1510</v>
      </c>
      <c r="B176" t="s">
        <v>188</v>
      </c>
      <c r="C176" t="s">
        <v>258</v>
      </c>
      <c r="D176" t="s">
        <v>62</v>
      </c>
      <c r="E176" t="s">
        <v>92</v>
      </c>
      <c r="F176" t="s">
        <v>32</v>
      </c>
      <c r="G176">
        <v>2</v>
      </c>
      <c r="H176">
        <v>1962</v>
      </c>
      <c r="I176">
        <v>3924</v>
      </c>
    </row>
    <row r="177" spans="1:9" x14ac:dyDescent="0.3">
      <c r="A177">
        <v>1288</v>
      </c>
      <c r="B177" t="s">
        <v>334</v>
      </c>
      <c r="C177" t="s">
        <v>189</v>
      </c>
      <c r="D177" t="s">
        <v>25</v>
      </c>
      <c r="E177" t="s">
        <v>136</v>
      </c>
      <c r="F177" t="s">
        <v>22</v>
      </c>
      <c r="G177">
        <v>4</v>
      </c>
      <c r="H177">
        <v>1297</v>
      </c>
      <c r="I177">
        <v>5188</v>
      </c>
    </row>
    <row r="178" spans="1:9" x14ac:dyDescent="0.3">
      <c r="A178">
        <v>1412</v>
      </c>
      <c r="B178" t="s">
        <v>335</v>
      </c>
      <c r="C178" t="s">
        <v>123</v>
      </c>
      <c r="D178" t="s">
        <v>35</v>
      </c>
      <c r="E178" t="s">
        <v>49</v>
      </c>
      <c r="F178" t="s">
        <v>124</v>
      </c>
      <c r="G178">
        <v>5</v>
      </c>
      <c r="H178">
        <v>2564</v>
      </c>
      <c r="I178">
        <v>12820</v>
      </c>
    </row>
    <row r="179" spans="1:9" x14ac:dyDescent="0.3">
      <c r="A179">
        <v>1563</v>
      </c>
      <c r="B179" t="s">
        <v>336</v>
      </c>
      <c r="C179" t="s">
        <v>197</v>
      </c>
      <c r="D179" t="s">
        <v>52</v>
      </c>
      <c r="E179" t="s">
        <v>83</v>
      </c>
      <c r="F179" t="s">
        <v>93</v>
      </c>
      <c r="G179">
        <v>3</v>
      </c>
      <c r="H179">
        <v>2977</v>
      </c>
      <c r="I179">
        <v>8931</v>
      </c>
    </row>
    <row r="180" spans="1:9" x14ac:dyDescent="0.3">
      <c r="A180">
        <v>1147</v>
      </c>
      <c r="B180" t="s">
        <v>337</v>
      </c>
      <c r="C180" t="s">
        <v>24</v>
      </c>
      <c r="D180" t="s">
        <v>42</v>
      </c>
      <c r="E180" t="s">
        <v>136</v>
      </c>
      <c r="F180" t="s">
        <v>67</v>
      </c>
      <c r="G180">
        <v>1</v>
      </c>
      <c r="H180">
        <v>1322</v>
      </c>
      <c r="I180">
        <v>1322</v>
      </c>
    </row>
    <row r="181" spans="1:9" x14ac:dyDescent="0.3">
      <c r="A181">
        <v>1531</v>
      </c>
      <c r="B181" t="s">
        <v>338</v>
      </c>
      <c r="C181" t="s">
        <v>339</v>
      </c>
      <c r="D181" t="s">
        <v>11</v>
      </c>
      <c r="E181" t="s">
        <v>100</v>
      </c>
      <c r="F181" t="s">
        <v>101</v>
      </c>
      <c r="G181">
        <v>4</v>
      </c>
      <c r="H181">
        <v>2651</v>
      </c>
      <c r="I181">
        <v>10604</v>
      </c>
    </row>
    <row r="182" spans="1:9" x14ac:dyDescent="0.3">
      <c r="A182">
        <v>1521</v>
      </c>
      <c r="B182" t="s">
        <v>340</v>
      </c>
      <c r="C182" t="s">
        <v>169</v>
      </c>
      <c r="D182" t="s">
        <v>35</v>
      </c>
      <c r="E182" t="s">
        <v>89</v>
      </c>
      <c r="F182" t="s">
        <v>75</v>
      </c>
      <c r="G182">
        <v>3</v>
      </c>
      <c r="H182">
        <v>1097</v>
      </c>
      <c r="I182">
        <v>3291</v>
      </c>
    </row>
    <row r="183" spans="1:9" x14ac:dyDescent="0.3">
      <c r="A183">
        <v>1027</v>
      </c>
      <c r="B183" t="s">
        <v>341</v>
      </c>
      <c r="C183" t="s">
        <v>342</v>
      </c>
      <c r="D183" t="s">
        <v>42</v>
      </c>
      <c r="E183" t="s">
        <v>12</v>
      </c>
      <c r="F183" t="s">
        <v>133</v>
      </c>
      <c r="G183">
        <v>5</v>
      </c>
      <c r="H183">
        <v>4135</v>
      </c>
      <c r="I183">
        <v>20675</v>
      </c>
    </row>
    <row r="184" spans="1:9" x14ac:dyDescent="0.3">
      <c r="A184">
        <v>1389</v>
      </c>
      <c r="B184" t="s">
        <v>343</v>
      </c>
      <c r="C184" t="s">
        <v>231</v>
      </c>
      <c r="D184" t="s">
        <v>16</v>
      </c>
      <c r="E184" t="s">
        <v>17</v>
      </c>
      <c r="F184" t="s">
        <v>72</v>
      </c>
      <c r="G184">
        <v>1</v>
      </c>
      <c r="H184">
        <v>3812</v>
      </c>
      <c r="I184">
        <v>3812</v>
      </c>
    </row>
    <row r="185" spans="1:9" x14ac:dyDescent="0.3">
      <c r="A185">
        <v>1208</v>
      </c>
      <c r="B185" t="s">
        <v>322</v>
      </c>
      <c r="C185" t="s">
        <v>288</v>
      </c>
      <c r="D185" t="s">
        <v>16</v>
      </c>
      <c r="E185" t="s">
        <v>49</v>
      </c>
      <c r="F185" t="s">
        <v>124</v>
      </c>
      <c r="G185">
        <v>5</v>
      </c>
      <c r="H185">
        <v>2862</v>
      </c>
      <c r="I185">
        <v>14310</v>
      </c>
    </row>
    <row r="186" spans="1:9" x14ac:dyDescent="0.3">
      <c r="A186">
        <v>1385</v>
      </c>
      <c r="B186" t="s">
        <v>344</v>
      </c>
      <c r="C186" t="s">
        <v>345</v>
      </c>
      <c r="D186" t="s">
        <v>35</v>
      </c>
      <c r="E186" t="s">
        <v>100</v>
      </c>
      <c r="F186" t="s">
        <v>53</v>
      </c>
      <c r="G186">
        <v>3</v>
      </c>
      <c r="H186">
        <v>4166</v>
      </c>
      <c r="I186">
        <v>12498</v>
      </c>
    </row>
    <row r="187" spans="1:9" x14ac:dyDescent="0.3">
      <c r="A187">
        <v>1571</v>
      </c>
      <c r="B187" t="s">
        <v>346</v>
      </c>
      <c r="C187" t="s">
        <v>326</v>
      </c>
      <c r="D187" t="s">
        <v>62</v>
      </c>
      <c r="E187" t="s">
        <v>12</v>
      </c>
      <c r="F187" t="s">
        <v>95</v>
      </c>
      <c r="G187">
        <v>3</v>
      </c>
      <c r="H187">
        <v>4130</v>
      </c>
      <c r="I187">
        <v>12390</v>
      </c>
    </row>
    <row r="188" spans="1:9" x14ac:dyDescent="0.3">
      <c r="A188">
        <v>1280</v>
      </c>
      <c r="B188" t="s">
        <v>347</v>
      </c>
      <c r="C188" t="s">
        <v>348</v>
      </c>
      <c r="D188" t="s">
        <v>11</v>
      </c>
      <c r="E188" t="s">
        <v>21</v>
      </c>
      <c r="F188" t="s">
        <v>46</v>
      </c>
      <c r="G188">
        <v>3</v>
      </c>
      <c r="H188">
        <v>544</v>
      </c>
      <c r="I188">
        <v>1632</v>
      </c>
    </row>
    <row r="189" spans="1:9" x14ac:dyDescent="0.3">
      <c r="A189">
        <v>1354</v>
      </c>
      <c r="B189" t="s">
        <v>349</v>
      </c>
      <c r="C189" t="s">
        <v>130</v>
      </c>
      <c r="D189" t="s">
        <v>16</v>
      </c>
      <c r="E189" t="s">
        <v>12</v>
      </c>
      <c r="F189" t="s">
        <v>75</v>
      </c>
      <c r="G189">
        <v>5</v>
      </c>
      <c r="H189">
        <v>2421</v>
      </c>
      <c r="I189">
        <v>12105</v>
      </c>
    </row>
    <row r="190" spans="1:9" x14ac:dyDescent="0.3">
      <c r="A190">
        <v>1140</v>
      </c>
      <c r="B190" t="s">
        <v>158</v>
      </c>
      <c r="C190" t="s">
        <v>350</v>
      </c>
      <c r="D190" t="s">
        <v>16</v>
      </c>
      <c r="E190" t="s">
        <v>17</v>
      </c>
      <c r="F190" t="s">
        <v>114</v>
      </c>
      <c r="G190">
        <v>2</v>
      </c>
      <c r="H190">
        <v>630</v>
      </c>
      <c r="I190">
        <v>1260</v>
      </c>
    </row>
    <row r="191" spans="1:9" x14ac:dyDescent="0.3">
      <c r="A191">
        <v>1483</v>
      </c>
      <c r="B191" t="s">
        <v>211</v>
      </c>
      <c r="C191" t="s">
        <v>351</v>
      </c>
      <c r="D191" t="s">
        <v>52</v>
      </c>
      <c r="E191" t="s">
        <v>39</v>
      </c>
      <c r="F191" t="s">
        <v>72</v>
      </c>
      <c r="G191">
        <v>4</v>
      </c>
      <c r="H191">
        <v>4111</v>
      </c>
      <c r="I191">
        <v>16444</v>
      </c>
    </row>
    <row r="192" spans="1:9" x14ac:dyDescent="0.3">
      <c r="A192">
        <v>1294</v>
      </c>
      <c r="B192" t="s">
        <v>352</v>
      </c>
      <c r="C192" t="s">
        <v>87</v>
      </c>
      <c r="D192" t="s">
        <v>42</v>
      </c>
      <c r="E192" t="s">
        <v>31</v>
      </c>
      <c r="F192" t="s">
        <v>32</v>
      </c>
      <c r="G192">
        <v>2</v>
      </c>
      <c r="H192">
        <v>3623</v>
      </c>
      <c r="I192">
        <v>7246</v>
      </c>
    </row>
    <row r="193" spans="1:9" x14ac:dyDescent="0.3">
      <c r="A193">
        <v>1037</v>
      </c>
      <c r="B193" t="s">
        <v>234</v>
      </c>
      <c r="C193" t="s">
        <v>187</v>
      </c>
      <c r="D193" t="s">
        <v>42</v>
      </c>
      <c r="E193" t="s">
        <v>21</v>
      </c>
      <c r="F193" t="s">
        <v>128</v>
      </c>
      <c r="G193">
        <v>1</v>
      </c>
      <c r="H193">
        <v>2644</v>
      </c>
      <c r="I193">
        <v>2644</v>
      </c>
    </row>
    <row r="194" spans="1:9" x14ac:dyDescent="0.3">
      <c r="A194">
        <v>1343</v>
      </c>
      <c r="B194" t="s">
        <v>353</v>
      </c>
      <c r="C194" t="s">
        <v>204</v>
      </c>
      <c r="D194" t="s">
        <v>30</v>
      </c>
      <c r="E194" t="s">
        <v>45</v>
      </c>
      <c r="F194" t="s">
        <v>128</v>
      </c>
      <c r="G194">
        <v>2</v>
      </c>
      <c r="H194">
        <v>1122</v>
      </c>
      <c r="I194">
        <v>2244</v>
      </c>
    </row>
    <row r="195" spans="1:9" x14ac:dyDescent="0.3">
      <c r="A195">
        <v>1263</v>
      </c>
      <c r="B195" t="s">
        <v>90</v>
      </c>
      <c r="C195" t="s">
        <v>354</v>
      </c>
      <c r="D195" t="s">
        <v>11</v>
      </c>
      <c r="E195" t="s">
        <v>12</v>
      </c>
      <c r="F195" t="s">
        <v>95</v>
      </c>
      <c r="G195">
        <v>5</v>
      </c>
      <c r="H195">
        <v>3521</v>
      </c>
      <c r="I195">
        <v>17605</v>
      </c>
    </row>
    <row r="196" spans="1:9" x14ac:dyDescent="0.3">
      <c r="A196">
        <v>1088</v>
      </c>
      <c r="B196" t="s">
        <v>355</v>
      </c>
      <c r="C196" t="s">
        <v>356</v>
      </c>
      <c r="D196" t="s">
        <v>62</v>
      </c>
      <c r="E196" t="s">
        <v>31</v>
      </c>
      <c r="G196">
        <v>3</v>
      </c>
      <c r="H196">
        <v>2232</v>
      </c>
      <c r="I196">
        <v>6696</v>
      </c>
    </row>
    <row r="197" spans="1:9" x14ac:dyDescent="0.3">
      <c r="A197">
        <v>1457</v>
      </c>
      <c r="B197" t="s">
        <v>357</v>
      </c>
      <c r="C197" t="s">
        <v>345</v>
      </c>
      <c r="D197" t="s">
        <v>30</v>
      </c>
      <c r="E197" t="s">
        <v>89</v>
      </c>
      <c r="F197" t="s">
        <v>95</v>
      </c>
      <c r="G197">
        <v>3</v>
      </c>
      <c r="H197">
        <v>2135</v>
      </c>
      <c r="I197">
        <v>6405</v>
      </c>
    </row>
    <row r="198" spans="1:9" x14ac:dyDescent="0.3">
      <c r="A198">
        <v>1314</v>
      </c>
      <c r="B198" t="s">
        <v>19</v>
      </c>
      <c r="C198" t="s">
        <v>80</v>
      </c>
      <c r="D198" t="s">
        <v>35</v>
      </c>
      <c r="E198" t="s">
        <v>36</v>
      </c>
      <c r="F198" t="s">
        <v>27</v>
      </c>
      <c r="G198">
        <v>5</v>
      </c>
      <c r="H198">
        <v>2009</v>
      </c>
      <c r="I198">
        <v>10045</v>
      </c>
    </row>
    <row r="199" spans="1:9" x14ac:dyDescent="0.3">
      <c r="A199">
        <v>1156</v>
      </c>
      <c r="B199" t="s">
        <v>86</v>
      </c>
      <c r="C199" t="s">
        <v>88</v>
      </c>
      <c r="D199" t="s">
        <v>16</v>
      </c>
      <c r="E199" t="s">
        <v>26</v>
      </c>
      <c r="F199" t="s">
        <v>75</v>
      </c>
      <c r="G199">
        <v>2</v>
      </c>
      <c r="H199">
        <v>870</v>
      </c>
      <c r="I199">
        <v>1740</v>
      </c>
    </row>
    <row r="200" spans="1:9" x14ac:dyDescent="0.3">
      <c r="A200">
        <v>1370</v>
      </c>
      <c r="B200" t="s">
        <v>272</v>
      </c>
      <c r="C200" t="s">
        <v>316</v>
      </c>
      <c r="D200" t="s">
        <v>11</v>
      </c>
      <c r="E200" t="s">
        <v>31</v>
      </c>
      <c r="F200" t="s">
        <v>32</v>
      </c>
      <c r="G200">
        <v>2</v>
      </c>
      <c r="H200">
        <v>2887</v>
      </c>
      <c r="I200">
        <v>5774</v>
      </c>
    </row>
    <row r="201" spans="1:9" x14ac:dyDescent="0.3">
      <c r="A201">
        <v>1210</v>
      </c>
      <c r="B201" t="s">
        <v>358</v>
      </c>
      <c r="C201" t="s">
        <v>169</v>
      </c>
      <c r="D201" t="s">
        <v>42</v>
      </c>
      <c r="E201" t="s">
        <v>92</v>
      </c>
      <c r="F201" t="s">
        <v>57</v>
      </c>
      <c r="G201">
        <v>4</v>
      </c>
      <c r="H201">
        <v>1280</v>
      </c>
      <c r="I201">
        <v>5120</v>
      </c>
    </row>
    <row r="202" spans="1:9" x14ac:dyDescent="0.3">
      <c r="A202">
        <v>1059</v>
      </c>
      <c r="B202" t="s">
        <v>359</v>
      </c>
      <c r="C202" t="s">
        <v>301</v>
      </c>
      <c r="D202" t="s">
        <v>30</v>
      </c>
      <c r="E202" t="s">
        <v>26</v>
      </c>
      <c r="F202" t="s">
        <v>27</v>
      </c>
      <c r="G202">
        <v>1</v>
      </c>
      <c r="H202">
        <v>1985</v>
      </c>
      <c r="I202">
        <v>1985</v>
      </c>
    </row>
    <row r="203" spans="1:9" x14ac:dyDescent="0.3">
      <c r="A203">
        <v>1352</v>
      </c>
      <c r="B203" t="s">
        <v>360</v>
      </c>
      <c r="C203" t="s">
        <v>361</v>
      </c>
      <c r="D203" t="s">
        <v>42</v>
      </c>
      <c r="E203" t="s">
        <v>92</v>
      </c>
      <c r="F203" t="s">
        <v>32</v>
      </c>
      <c r="G203">
        <v>3</v>
      </c>
      <c r="H203">
        <v>3549</v>
      </c>
      <c r="I203">
        <v>10647</v>
      </c>
    </row>
    <row r="204" spans="1:9" x14ac:dyDescent="0.3">
      <c r="A204">
        <v>1430</v>
      </c>
      <c r="B204" t="s">
        <v>362</v>
      </c>
      <c r="C204" t="s">
        <v>363</v>
      </c>
      <c r="D204" t="s">
        <v>52</v>
      </c>
      <c r="E204" t="s">
        <v>45</v>
      </c>
      <c r="F204" t="s">
        <v>46</v>
      </c>
      <c r="G204">
        <v>1</v>
      </c>
      <c r="H204">
        <v>4617</v>
      </c>
      <c r="I204">
        <v>4617</v>
      </c>
    </row>
    <row r="205" spans="1:9" x14ac:dyDescent="0.3">
      <c r="A205">
        <v>1121</v>
      </c>
      <c r="B205" t="s">
        <v>364</v>
      </c>
      <c r="C205" t="s">
        <v>365</v>
      </c>
      <c r="D205" t="s">
        <v>16</v>
      </c>
      <c r="E205" t="s">
        <v>49</v>
      </c>
      <c r="F205" t="s">
        <v>67</v>
      </c>
      <c r="G205">
        <v>1</v>
      </c>
      <c r="H205">
        <v>386</v>
      </c>
      <c r="I205">
        <v>386</v>
      </c>
    </row>
    <row r="206" spans="1:9" x14ac:dyDescent="0.3">
      <c r="A206">
        <v>1557</v>
      </c>
      <c r="B206" t="s">
        <v>366</v>
      </c>
      <c r="C206" t="s">
        <v>286</v>
      </c>
      <c r="D206" t="s">
        <v>62</v>
      </c>
      <c r="E206" t="s">
        <v>49</v>
      </c>
      <c r="F206" t="s">
        <v>128</v>
      </c>
      <c r="G206">
        <v>3</v>
      </c>
      <c r="H206">
        <v>1470</v>
      </c>
      <c r="I206">
        <v>4410</v>
      </c>
    </row>
    <row r="207" spans="1:9" x14ac:dyDescent="0.3">
      <c r="A207">
        <v>1115</v>
      </c>
      <c r="B207" t="s">
        <v>367</v>
      </c>
      <c r="C207" t="s">
        <v>368</v>
      </c>
      <c r="D207" t="s">
        <v>16</v>
      </c>
      <c r="E207" t="s">
        <v>136</v>
      </c>
      <c r="F207" t="s">
        <v>67</v>
      </c>
      <c r="G207">
        <v>2</v>
      </c>
      <c r="H207">
        <v>751</v>
      </c>
      <c r="I207">
        <v>1502</v>
      </c>
    </row>
    <row r="208" spans="1:9" x14ac:dyDescent="0.3">
      <c r="A208">
        <v>1049</v>
      </c>
      <c r="B208" t="s">
        <v>328</v>
      </c>
      <c r="C208" t="s">
        <v>10</v>
      </c>
      <c r="D208" t="s">
        <v>16</v>
      </c>
      <c r="E208" t="s">
        <v>92</v>
      </c>
      <c r="F208" t="s">
        <v>78</v>
      </c>
      <c r="G208">
        <v>5</v>
      </c>
      <c r="H208">
        <v>1979</v>
      </c>
      <c r="I208">
        <v>9895</v>
      </c>
    </row>
    <row r="209" spans="1:9" x14ac:dyDescent="0.3">
      <c r="A209">
        <v>1143</v>
      </c>
      <c r="B209" t="s">
        <v>369</v>
      </c>
      <c r="C209" t="s">
        <v>370</v>
      </c>
      <c r="D209" t="s">
        <v>35</v>
      </c>
      <c r="E209" t="s">
        <v>100</v>
      </c>
      <c r="F209" t="s">
        <v>18</v>
      </c>
      <c r="G209">
        <v>2</v>
      </c>
      <c r="H209">
        <v>2672</v>
      </c>
      <c r="I209">
        <v>5344</v>
      </c>
    </row>
    <row r="210" spans="1:9" x14ac:dyDescent="0.3">
      <c r="A210">
        <v>1533</v>
      </c>
      <c r="B210" t="s">
        <v>264</v>
      </c>
      <c r="C210" t="s">
        <v>196</v>
      </c>
      <c r="D210" t="s">
        <v>11</v>
      </c>
      <c r="E210" t="s">
        <v>89</v>
      </c>
      <c r="F210" t="s">
        <v>95</v>
      </c>
      <c r="G210">
        <v>4</v>
      </c>
      <c r="H210">
        <v>4753</v>
      </c>
      <c r="I210">
        <v>19012</v>
      </c>
    </row>
    <row r="211" spans="1:9" x14ac:dyDescent="0.3">
      <c r="A211">
        <v>1390</v>
      </c>
      <c r="B211" t="s">
        <v>371</v>
      </c>
      <c r="C211" t="s">
        <v>372</v>
      </c>
      <c r="D211" t="s">
        <v>30</v>
      </c>
      <c r="E211" t="s">
        <v>49</v>
      </c>
      <c r="F211" t="s">
        <v>46</v>
      </c>
      <c r="G211">
        <v>4</v>
      </c>
      <c r="H211">
        <v>1706</v>
      </c>
      <c r="I211">
        <v>6824</v>
      </c>
    </row>
    <row r="212" spans="1:9" x14ac:dyDescent="0.3">
      <c r="A212">
        <v>1230</v>
      </c>
      <c r="B212" t="s">
        <v>373</v>
      </c>
      <c r="C212" t="s">
        <v>238</v>
      </c>
      <c r="D212" t="s">
        <v>52</v>
      </c>
      <c r="E212" t="s">
        <v>17</v>
      </c>
      <c r="F212" t="s">
        <v>53</v>
      </c>
      <c r="G212">
        <v>4</v>
      </c>
      <c r="H212">
        <v>4765</v>
      </c>
      <c r="I212">
        <v>19060</v>
      </c>
    </row>
    <row r="213" spans="1:9" x14ac:dyDescent="0.3">
      <c r="A213">
        <v>1261</v>
      </c>
      <c r="B213" t="s">
        <v>374</v>
      </c>
      <c r="C213" t="s">
        <v>249</v>
      </c>
      <c r="D213" t="s">
        <v>25</v>
      </c>
      <c r="E213" t="s">
        <v>56</v>
      </c>
      <c r="F213" t="s">
        <v>78</v>
      </c>
      <c r="G213">
        <v>5</v>
      </c>
      <c r="H213">
        <v>1760</v>
      </c>
      <c r="I213">
        <v>8800</v>
      </c>
    </row>
    <row r="214" spans="1:9" x14ac:dyDescent="0.3">
      <c r="A214">
        <v>1040</v>
      </c>
      <c r="B214" t="s">
        <v>220</v>
      </c>
      <c r="C214" t="s">
        <v>375</v>
      </c>
      <c r="D214" t="s">
        <v>35</v>
      </c>
      <c r="E214" t="s">
        <v>39</v>
      </c>
      <c r="F214" t="s">
        <v>53</v>
      </c>
      <c r="G214">
        <v>3</v>
      </c>
      <c r="H214">
        <v>325</v>
      </c>
      <c r="I214">
        <v>975</v>
      </c>
    </row>
    <row r="215" spans="1:9" x14ac:dyDescent="0.3">
      <c r="A215">
        <v>1120</v>
      </c>
      <c r="B215" t="s">
        <v>178</v>
      </c>
      <c r="C215" t="s">
        <v>316</v>
      </c>
      <c r="D215" t="s">
        <v>52</v>
      </c>
      <c r="E215" t="s">
        <v>39</v>
      </c>
      <c r="F215" t="s">
        <v>18</v>
      </c>
      <c r="G215">
        <v>2</v>
      </c>
      <c r="H215">
        <v>4722</v>
      </c>
      <c r="I215">
        <v>9444</v>
      </c>
    </row>
    <row r="216" spans="1:9" x14ac:dyDescent="0.3">
      <c r="A216">
        <v>1477</v>
      </c>
      <c r="B216" t="s">
        <v>376</v>
      </c>
      <c r="C216" t="s">
        <v>156</v>
      </c>
      <c r="D216" t="s">
        <v>35</v>
      </c>
      <c r="E216" t="s">
        <v>36</v>
      </c>
      <c r="F216" t="s">
        <v>95</v>
      </c>
      <c r="G216">
        <v>5</v>
      </c>
      <c r="H216">
        <v>4273</v>
      </c>
      <c r="I216">
        <v>21365</v>
      </c>
    </row>
    <row r="217" spans="1:9" x14ac:dyDescent="0.3">
      <c r="A217">
        <v>1480</v>
      </c>
      <c r="B217" t="s">
        <v>330</v>
      </c>
      <c r="C217" t="s">
        <v>316</v>
      </c>
      <c r="D217" t="s">
        <v>52</v>
      </c>
      <c r="E217" t="s">
        <v>100</v>
      </c>
      <c r="F217" t="s">
        <v>101</v>
      </c>
      <c r="G217">
        <v>1</v>
      </c>
      <c r="H217">
        <v>4808</v>
      </c>
      <c r="I217">
        <v>4808</v>
      </c>
    </row>
    <row r="218" spans="1:9" x14ac:dyDescent="0.3">
      <c r="A218">
        <v>1016</v>
      </c>
      <c r="B218" t="s">
        <v>377</v>
      </c>
      <c r="C218" t="s">
        <v>378</v>
      </c>
      <c r="D218" t="s">
        <v>16</v>
      </c>
      <c r="E218" t="s">
        <v>49</v>
      </c>
      <c r="F218" t="s">
        <v>22</v>
      </c>
      <c r="G218">
        <v>3</v>
      </c>
      <c r="H218">
        <v>2084</v>
      </c>
      <c r="I218">
        <v>6252</v>
      </c>
    </row>
    <row r="219" spans="1:9" x14ac:dyDescent="0.3">
      <c r="A219">
        <v>1511</v>
      </c>
      <c r="B219" t="s">
        <v>379</v>
      </c>
      <c r="C219" t="s">
        <v>130</v>
      </c>
      <c r="D219" t="s">
        <v>62</v>
      </c>
      <c r="E219" t="s">
        <v>26</v>
      </c>
      <c r="F219" t="s">
        <v>95</v>
      </c>
      <c r="G219">
        <v>4</v>
      </c>
      <c r="H219">
        <v>1578</v>
      </c>
      <c r="I219">
        <v>6312</v>
      </c>
    </row>
    <row r="220" spans="1:9" x14ac:dyDescent="0.3">
      <c r="A220">
        <v>1143</v>
      </c>
      <c r="B220" t="s">
        <v>380</v>
      </c>
      <c r="C220" t="s">
        <v>169</v>
      </c>
      <c r="D220" t="s">
        <v>42</v>
      </c>
      <c r="E220" t="s">
        <v>17</v>
      </c>
      <c r="F220" t="s">
        <v>18</v>
      </c>
      <c r="G220">
        <v>1</v>
      </c>
      <c r="H220">
        <v>597</v>
      </c>
      <c r="I220">
        <v>597</v>
      </c>
    </row>
    <row r="221" spans="1:9" x14ac:dyDescent="0.3">
      <c r="A221">
        <v>1236</v>
      </c>
      <c r="B221" t="s">
        <v>246</v>
      </c>
      <c r="C221" t="s">
        <v>381</v>
      </c>
      <c r="D221" t="s">
        <v>62</v>
      </c>
      <c r="E221" t="s">
        <v>39</v>
      </c>
      <c r="F221" t="s">
        <v>72</v>
      </c>
      <c r="G221">
        <v>3</v>
      </c>
      <c r="H221">
        <v>695</v>
      </c>
      <c r="I221">
        <v>2085</v>
      </c>
    </row>
    <row r="222" spans="1:9" x14ac:dyDescent="0.3">
      <c r="A222">
        <v>1494</v>
      </c>
      <c r="B222" t="s">
        <v>131</v>
      </c>
      <c r="C222" t="s">
        <v>144</v>
      </c>
      <c r="D222" t="s">
        <v>42</v>
      </c>
      <c r="E222" t="s">
        <v>92</v>
      </c>
      <c r="F222" t="s">
        <v>32</v>
      </c>
      <c r="G222">
        <v>1</v>
      </c>
      <c r="H222">
        <v>4536</v>
      </c>
      <c r="I222">
        <v>4536</v>
      </c>
    </row>
    <row r="223" spans="1:9" x14ac:dyDescent="0.3">
      <c r="A223">
        <v>1293</v>
      </c>
      <c r="B223" t="s">
        <v>382</v>
      </c>
      <c r="C223" t="s">
        <v>288</v>
      </c>
      <c r="D223" t="s">
        <v>25</v>
      </c>
      <c r="E223" t="s">
        <v>136</v>
      </c>
      <c r="F223" t="s">
        <v>128</v>
      </c>
      <c r="G223">
        <v>5</v>
      </c>
      <c r="H223">
        <v>1419</v>
      </c>
      <c r="I223">
        <v>7095</v>
      </c>
    </row>
    <row r="224" spans="1:9" x14ac:dyDescent="0.3">
      <c r="A224">
        <v>1258</v>
      </c>
      <c r="B224" t="s">
        <v>383</v>
      </c>
      <c r="C224" t="s">
        <v>206</v>
      </c>
      <c r="D224" t="s">
        <v>52</v>
      </c>
      <c r="E224" t="s">
        <v>21</v>
      </c>
      <c r="F224" t="s">
        <v>124</v>
      </c>
      <c r="G224">
        <v>4</v>
      </c>
      <c r="H224">
        <v>4828</v>
      </c>
      <c r="I224">
        <v>19312</v>
      </c>
    </row>
    <row r="225" spans="1:9" x14ac:dyDescent="0.3">
      <c r="A225">
        <v>1307</v>
      </c>
      <c r="B225" t="s">
        <v>300</v>
      </c>
      <c r="C225" t="s">
        <v>197</v>
      </c>
      <c r="D225" t="s">
        <v>52</v>
      </c>
      <c r="E225" t="s">
        <v>83</v>
      </c>
      <c r="F225" t="s">
        <v>32</v>
      </c>
      <c r="G225">
        <v>4</v>
      </c>
      <c r="H225">
        <v>3289</v>
      </c>
      <c r="I225">
        <v>13156</v>
      </c>
    </row>
    <row r="226" spans="1:9" x14ac:dyDescent="0.3">
      <c r="A226">
        <v>1009</v>
      </c>
      <c r="B226" t="s">
        <v>384</v>
      </c>
      <c r="C226" t="s">
        <v>385</v>
      </c>
      <c r="D226" t="s">
        <v>35</v>
      </c>
      <c r="E226" t="s">
        <v>92</v>
      </c>
      <c r="F226" t="s">
        <v>78</v>
      </c>
      <c r="G226">
        <v>5</v>
      </c>
      <c r="H226">
        <v>981</v>
      </c>
      <c r="I226">
        <v>4905</v>
      </c>
    </row>
    <row r="227" spans="1:9" x14ac:dyDescent="0.3">
      <c r="A227">
        <v>1235</v>
      </c>
      <c r="B227" t="s">
        <v>166</v>
      </c>
      <c r="C227" t="s">
        <v>111</v>
      </c>
      <c r="D227" t="s">
        <v>25</v>
      </c>
      <c r="E227" t="s">
        <v>136</v>
      </c>
      <c r="F227" t="s">
        <v>22</v>
      </c>
      <c r="G227">
        <v>3</v>
      </c>
      <c r="H227">
        <v>4648</v>
      </c>
      <c r="I227">
        <v>13944</v>
      </c>
    </row>
    <row r="228" spans="1:9" x14ac:dyDescent="0.3">
      <c r="A228">
        <v>1322</v>
      </c>
      <c r="B228" t="s">
        <v>382</v>
      </c>
      <c r="C228" t="s">
        <v>386</v>
      </c>
      <c r="D228" t="s">
        <v>52</v>
      </c>
      <c r="E228" t="s">
        <v>39</v>
      </c>
      <c r="F228" t="s">
        <v>18</v>
      </c>
      <c r="G228">
        <v>1</v>
      </c>
      <c r="H228">
        <v>2651</v>
      </c>
      <c r="I228">
        <v>2651</v>
      </c>
    </row>
    <row r="229" spans="1:9" x14ac:dyDescent="0.3">
      <c r="A229">
        <v>1398</v>
      </c>
      <c r="B229" t="s">
        <v>387</v>
      </c>
      <c r="C229" t="s">
        <v>388</v>
      </c>
      <c r="D229" t="s">
        <v>25</v>
      </c>
      <c r="E229" t="s">
        <v>12</v>
      </c>
      <c r="F229" t="s">
        <v>75</v>
      </c>
      <c r="G229">
        <v>5</v>
      </c>
      <c r="H229">
        <v>3033</v>
      </c>
      <c r="I229">
        <v>15165</v>
      </c>
    </row>
    <row r="230" spans="1:9" x14ac:dyDescent="0.3">
      <c r="A230">
        <v>1077</v>
      </c>
      <c r="B230" t="s">
        <v>329</v>
      </c>
      <c r="C230" t="s">
        <v>24</v>
      </c>
      <c r="D230" t="s">
        <v>30</v>
      </c>
      <c r="E230" t="s">
        <v>136</v>
      </c>
      <c r="F230" t="s">
        <v>22</v>
      </c>
      <c r="G230">
        <v>4</v>
      </c>
      <c r="H230">
        <v>4219</v>
      </c>
      <c r="I230">
        <v>16876</v>
      </c>
    </row>
    <row r="231" spans="1:9" x14ac:dyDescent="0.3">
      <c r="A231">
        <v>1384</v>
      </c>
      <c r="B231" t="s">
        <v>389</v>
      </c>
      <c r="C231" t="s">
        <v>390</v>
      </c>
      <c r="D231" t="s">
        <v>16</v>
      </c>
      <c r="E231" t="s">
        <v>21</v>
      </c>
      <c r="F231" t="s">
        <v>124</v>
      </c>
      <c r="G231">
        <v>1</v>
      </c>
      <c r="H231">
        <v>872</v>
      </c>
      <c r="I231">
        <v>872</v>
      </c>
    </row>
    <row r="232" spans="1:9" x14ac:dyDescent="0.3">
      <c r="A232">
        <v>1157</v>
      </c>
      <c r="B232" t="s">
        <v>149</v>
      </c>
      <c r="C232" t="s">
        <v>372</v>
      </c>
      <c r="D232" t="s">
        <v>42</v>
      </c>
      <c r="E232" t="s">
        <v>89</v>
      </c>
      <c r="F232" t="s">
        <v>27</v>
      </c>
      <c r="G232">
        <v>3</v>
      </c>
      <c r="H232">
        <v>3843</v>
      </c>
      <c r="I232">
        <v>11529</v>
      </c>
    </row>
    <row r="233" spans="1:9" x14ac:dyDescent="0.3">
      <c r="A233">
        <v>1135</v>
      </c>
      <c r="B233" t="s">
        <v>391</v>
      </c>
      <c r="C233" t="s">
        <v>390</v>
      </c>
      <c r="D233" t="s">
        <v>25</v>
      </c>
      <c r="E233" t="s">
        <v>45</v>
      </c>
      <c r="F233" t="s">
        <v>46</v>
      </c>
      <c r="G233">
        <v>1</v>
      </c>
      <c r="H233">
        <v>934</v>
      </c>
      <c r="I233">
        <v>934</v>
      </c>
    </row>
    <row r="234" spans="1:9" x14ac:dyDescent="0.3">
      <c r="A234">
        <v>1332</v>
      </c>
      <c r="B234" t="s">
        <v>392</v>
      </c>
      <c r="C234" t="s">
        <v>354</v>
      </c>
      <c r="D234" t="s">
        <v>25</v>
      </c>
      <c r="E234" t="s">
        <v>26</v>
      </c>
      <c r="F234" t="s">
        <v>75</v>
      </c>
      <c r="G234">
        <v>5</v>
      </c>
      <c r="H234">
        <v>2188</v>
      </c>
      <c r="I234">
        <v>10940</v>
      </c>
    </row>
    <row r="235" spans="1:9" x14ac:dyDescent="0.3">
      <c r="A235">
        <v>1389</v>
      </c>
      <c r="B235" t="s">
        <v>393</v>
      </c>
      <c r="C235" t="s">
        <v>146</v>
      </c>
      <c r="D235" t="s">
        <v>62</v>
      </c>
      <c r="E235" t="s">
        <v>36</v>
      </c>
      <c r="F235" t="s">
        <v>95</v>
      </c>
      <c r="G235">
        <v>2</v>
      </c>
      <c r="H235">
        <v>718</v>
      </c>
      <c r="I235">
        <v>1436</v>
      </c>
    </row>
    <row r="236" spans="1:9" x14ac:dyDescent="0.3">
      <c r="A236">
        <v>1306</v>
      </c>
      <c r="B236" t="s">
        <v>221</v>
      </c>
      <c r="C236" t="s">
        <v>214</v>
      </c>
      <c r="D236" t="s">
        <v>16</v>
      </c>
      <c r="E236" t="s">
        <v>56</v>
      </c>
      <c r="F236" t="s">
        <v>112</v>
      </c>
      <c r="G236">
        <v>4</v>
      </c>
      <c r="H236">
        <v>1801</v>
      </c>
      <c r="I236">
        <v>7204</v>
      </c>
    </row>
    <row r="237" spans="1:9" x14ac:dyDescent="0.3">
      <c r="A237">
        <v>1006</v>
      </c>
      <c r="B237" t="s">
        <v>255</v>
      </c>
      <c r="C237" t="s">
        <v>265</v>
      </c>
      <c r="D237" t="s">
        <v>35</v>
      </c>
      <c r="E237" t="s">
        <v>45</v>
      </c>
      <c r="F237" t="s">
        <v>22</v>
      </c>
      <c r="G237">
        <v>4</v>
      </c>
      <c r="H237">
        <v>1315</v>
      </c>
      <c r="I237">
        <v>5260</v>
      </c>
    </row>
    <row r="238" spans="1:9" x14ac:dyDescent="0.3">
      <c r="A238">
        <v>1205</v>
      </c>
      <c r="B238" t="s">
        <v>178</v>
      </c>
      <c r="C238" t="s">
        <v>97</v>
      </c>
      <c r="D238" t="s">
        <v>30</v>
      </c>
      <c r="E238" t="s">
        <v>100</v>
      </c>
      <c r="F238" t="s">
        <v>53</v>
      </c>
      <c r="G238">
        <v>4</v>
      </c>
      <c r="H238">
        <v>4917</v>
      </c>
      <c r="I238">
        <v>19668</v>
      </c>
    </row>
    <row r="239" spans="1:9" x14ac:dyDescent="0.3">
      <c r="A239">
        <v>1287</v>
      </c>
      <c r="B239" t="s">
        <v>394</v>
      </c>
      <c r="C239" t="s">
        <v>230</v>
      </c>
      <c r="D239" t="s">
        <v>11</v>
      </c>
      <c r="E239" t="s">
        <v>31</v>
      </c>
      <c r="F239" t="s">
        <v>57</v>
      </c>
      <c r="G239">
        <v>5</v>
      </c>
      <c r="H239">
        <v>420</v>
      </c>
      <c r="I239">
        <v>2100</v>
      </c>
    </row>
    <row r="240" spans="1:9" x14ac:dyDescent="0.3">
      <c r="A240">
        <v>1214</v>
      </c>
      <c r="B240" t="s">
        <v>190</v>
      </c>
      <c r="C240" t="s">
        <v>395</v>
      </c>
      <c r="D240" t="s">
        <v>62</v>
      </c>
      <c r="E240" t="s">
        <v>26</v>
      </c>
      <c r="F240" t="s">
        <v>27</v>
      </c>
      <c r="G240">
        <v>2</v>
      </c>
      <c r="H240">
        <v>2680</v>
      </c>
      <c r="I240">
        <v>5360</v>
      </c>
    </row>
    <row r="241" spans="1:9" x14ac:dyDescent="0.3">
      <c r="A241">
        <v>1433</v>
      </c>
      <c r="B241" t="s">
        <v>396</v>
      </c>
      <c r="C241" t="s">
        <v>397</v>
      </c>
      <c r="D241" t="s">
        <v>52</v>
      </c>
      <c r="E241" t="s">
        <v>45</v>
      </c>
      <c r="F241" t="s">
        <v>67</v>
      </c>
      <c r="G241">
        <v>5</v>
      </c>
      <c r="H241">
        <v>4350</v>
      </c>
      <c r="I241">
        <v>21750</v>
      </c>
    </row>
    <row r="242" spans="1:9" x14ac:dyDescent="0.3">
      <c r="A242">
        <v>1428</v>
      </c>
      <c r="B242" t="s">
        <v>207</v>
      </c>
      <c r="C242" t="s">
        <v>216</v>
      </c>
      <c r="D242" t="s">
        <v>25</v>
      </c>
      <c r="E242" t="s">
        <v>89</v>
      </c>
      <c r="F242" t="s">
        <v>133</v>
      </c>
      <c r="G242">
        <v>2</v>
      </c>
      <c r="H242">
        <v>3108</v>
      </c>
      <c r="I242">
        <v>6216</v>
      </c>
    </row>
    <row r="243" spans="1:9" x14ac:dyDescent="0.3">
      <c r="A243">
        <v>1576</v>
      </c>
      <c r="B243" t="s">
        <v>398</v>
      </c>
      <c r="C243" t="s">
        <v>151</v>
      </c>
      <c r="D243" t="s">
        <v>25</v>
      </c>
      <c r="E243" t="s">
        <v>45</v>
      </c>
      <c r="F243" t="s">
        <v>22</v>
      </c>
      <c r="G243">
        <v>1</v>
      </c>
      <c r="H243">
        <v>1007</v>
      </c>
      <c r="I243">
        <v>1007</v>
      </c>
    </row>
    <row r="244" spans="1:9" x14ac:dyDescent="0.3">
      <c r="A244">
        <v>1531</v>
      </c>
      <c r="B244" t="s">
        <v>229</v>
      </c>
      <c r="C244" t="s">
        <v>159</v>
      </c>
      <c r="D244" t="s">
        <v>52</v>
      </c>
      <c r="E244" t="s">
        <v>100</v>
      </c>
      <c r="F244" t="s">
        <v>53</v>
      </c>
      <c r="G244">
        <v>4</v>
      </c>
      <c r="H244">
        <v>4299</v>
      </c>
      <c r="I244">
        <v>17196</v>
      </c>
    </row>
    <row r="245" spans="1:9" x14ac:dyDescent="0.3">
      <c r="A245">
        <v>1494</v>
      </c>
      <c r="B245" t="s">
        <v>399</v>
      </c>
      <c r="C245" t="s">
        <v>282</v>
      </c>
      <c r="D245" t="s">
        <v>11</v>
      </c>
      <c r="E245" t="s">
        <v>136</v>
      </c>
      <c r="F245" t="s">
        <v>124</v>
      </c>
      <c r="G245">
        <v>3</v>
      </c>
      <c r="H245">
        <v>2755</v>
      </c>
      <c r="I245">
        <v>8265</v>
      </c>
    </row>
    <row r="246" spans="1:9" x14ac:dyDescent="0.3">
      <c r="A246">
        <v>1533</v>
      </c>
      <c r="B246" t="s">
        <v>221</v>
      </c>
      <c r="C246" t="s">
        <v>400</v>
      </c>
      <c r="D246" t="s">
        <v>62</v>
      </c>
      <c r="E246" t="s">
        <v>45</v>
      </c>
      <c r="F246" t="s">
        <v>124</v>
      </c>
      <c r="G246">
        <v>3</v>
      </c>
      <c r="H246">
        <v>750</v>
      </c>
      <c r="I246">
        <v>2250</v>
      </c>
    </row>
    <row r="247" spans="1:9" x14ac:dyDescent="0.3">
      <c r="A247">
        <v>1117</v>
      </c>
      <c r="B247" t="s">
        <v>401</v>
      </c>
      <c r="C247" t="s">
        <v>126</v>
      </c>
      <c r="D247" t="s">
        <v>16</v>
      </c>
      <c r="E247" t="s">
        <v>12</v>
      </c>
      <c r="F247" t="s">
        <v>27</v>
      </c>
      <c r="G247">
        <v>5</v>
      </c>
      <c r="H247">
        <v>1629</v>
      </c>
      <c r="I247">
        <v>8145</v>
      </c>
    </row>
    <row r="248" spans="1:9" x14ac:dyDescent="0.3">
      <c r="A248">
        <v>1436</v>
      </c>
      <c r="B248" t="s">
        <v>81</v>
      </c>
      <c r="C248" t="s">
        <v>173</v>
      </c>
      <c r="D248" t="s">
        <v>52</v>
      </c>
      <c r="E248" t="s">
        <v>49</v>
      </c>
      <c r="F248" t="s">
        <v>128</v>
      </c>
      <c r="G248">
        <v>4</v>
      </c>
      <c r="H248">
        <v>439</v>
      </c>
      <c r="I248">
        <v>1756</v>
      </c>
    </row>
    <row r="249" spans="1:9" x14ac:dyDescent="0.3">
      <c r="A249">
        <v>1460</v>
      </c>
      <c r="B249" t="s">
        <v>402</v>
      </c>
      <c r="C249" t="s">
        <v>48</v>
      </c>
      <c r="D249" t="s">
        <v>16</v>
      </c>
      <c r="E249" t="s">
        <v>49</v>
      </c>
      <c r="F249" t="s">
        <v>124</v>
      </c>
      <c r="G249">
        <v>3</v>
      </c>
      <c r="H249">
        <v>712</v>
      </c>
      <c r="I249">
        <v>2136</v>
      </c>
    </row>
    <row r="250" spans="1:9" x14ac:dyDescent="0.3">
      <c r="A250">
        <v>1549</v>
      </c>
      <c r="B250" t="s">
        <v>90</v>
      </c>
      <c r="C250" t="s">
        <v>230</v>
      </c>
      <c r="D250" t="s">
        <v>25</v>
      </c>
      <c r="E250" t="s">
        <v>26</v>
      </c>
      <c r="F250" t="s">
        <v>13</v>
      </c>
      <c r="G250">
        <v>3</v>
      </c>
      <c r="H250">
        <v>4209</v>
      </c>
      <c r="I250">
        <v>12627</v>
      </c>
    </row>
    <row r="251" spans="1:9" x14ac:dyDescent="0.3">
      <c r="A251">
        <v>1397</v>
      </c>
      <c r="B251" t="s">
        <v>403</v>
      </c>
      <c r="C251" t="s">
        <v>404</v>
      </c>
      <c r="D251" t="s">
        <v>62</v>
      </c>
      <c r="E251" t="s">
        <v>56</v>
      </c>
      <c r="F251" t="s">
        <v>112</v>
      </c>
      <c r="G251">
        <v>5</v>
      </c>
      <c r="H251">
        <v>1613</v>
      </c>
      <c r="I251">
        <v>8065</v>
      </c>
    </row>
    <row r="252" spans="1:9" x14ac:dyDescent="0.3">
      <c r="A252">
        <v>1304</v>
      </c>
      <c r="B252" t="s">
        <v>405</v>
      </c>
      <c r="C252" t="s">
        <v>271</v>
      </c>
      <c r="D252" t="s">
        <v>25</v>
      </c>
      <c r="E252" t="s">
        <v>56</v>
      </c>
      <c r="F252" t="s">
        <v>93</v>
      </c>
      <c r="G252">
        <v>2</v>
      </c>
      <c r="H252">
        <v>2701</v>
      </c>
      <c r="I252">
        <v>5402</v>
      </c>
    </row>
    <row r="253" spans="1:9" x14ac:dyDescent="0.3">
      <c r="A253">
        <v>1144</v>
      </c>
      <c r="B253" t="s">
        <v>406</v>
      </c>
      <c r="C253" t="s">
        <v>276</v>
      </c>
      <c r="D253" t="s">
        <v>52</v>
      </c>
      <c r="E253" t="s">
        <v>49</v>
      </c>
      <c r="F253" t="s">
        <v>67</v>
      </c>
      <c r="G253">
        <v>4</v>
      </c>
      <c r="H253">
        <v>1721</v>
      </c>
      <c r="I253">
        <v>6884</v>
      </c>
    </row>
    <row r="254" spans="1:9" x14ac:dyDescent="0.3">
      <c r="A254">
        <v>1177</v>
      </c>
      <c r="B254" t="s">
        <v>407</v>
      </c>
      <c r="C254" t="s">
        <v>218</v>
      </c>
      <c r="D254" t="s">
        <v>11</v>
      </c>
      <c r="E254" t="s">
        <v>49</v>
      </c>
      <c r="F254" t="s">
        <v>22</v>
      </c>
      <c r="G254">
        <v>3</v>
      </c>
      <c r="H254">
        <v>3894</v>
      </c>
      <c r="I254">
        <v>11682</v>
      </c>
    </row>
    <row r="255" spans="1:9" x14ac:dyDescent="0.3">
      <c r="A255">
        <v>1009</v>
      </c>
      <c r="B255" t="s">
        <v>408</v>
      </c>
      <c r="C255" t="s">
        <v>409</v>
      </c>
      <c r="D255" t="s">
        <v>52</v>
      </c>
      <c r="E255" t="s">
        <v>140</v>
      </c>
      <c r="F255" t="s">
        <v>53</v>
      </c>
      <c r="G255">
        <v>4</v>
      </c>
      <c r="H255">
        <v>3604</v>
      </c>
      <c r="I255">
        <v>14416</v>
      </c>
    </row>
    <row r="256" spans="1:9" x14ac:dyDescent="0.3">
      <c r="A256">
        <v>1171</v>
      </c>
      <c r="B256" t="s">
        <v>410</v>
      </c>
      <c r="C256" t="s">
        <v>222</v>
      </c>
      <c r="D256" t="s">
        <v>42</v>
      </c>
      <c r="E256" t="s">
        <v>56</v>
      </c>
      <c r="F256" t="s">
        <v>93</v>
      </c>
      <c r="G256">
        <v>3</v>
      </c>
      <c r="H256">
        <v>2041</v>
      </c>
      <c r="I256">
        <v>6123</v>
      </c>
    </row>
    <row r="257" spans="1:9" x14ac:dyDescent="0.3">
      <c r="A257">
        <v>1468</v>
      </c>
      <c r="B257" t="s">
        <v>235</v>
      </c>
      <c r="C257" t="s">
        <v>210</v>
      </c>
      <c r="D257" t="s">
        <v>25</v>
      </c>
      <c r="E257" t="s">
        <v>136</v>
      </c>
      <c r="F257" t="s">
        <v>67</v>
      </c>
      <c r="G257">
        <v>3</v>
      </c>
      <c r="H257">
        <v>4649</v>
      </c>
      <c r="I257">
        <v>13947</v>
      </c>
    </row>
    <row r="258" spans="1:9" x14ac:dyDescent="0.3">
      <c r="A258">
        <v>1042</v>
      </c>
      <c r="B258" t="s">
        <v>411</v>
      </c>
      <c r="C258" t="s">
        <v>412</v>
      </c>
      <c r="D258" t="s">
        <v>16</v>
      </c>
      <c r="E258" t="s">
        <v>17</v>
      </c>
      <c r="F258" t="s">
        <v>53</v>
      </c>
      <c r="G258">
        <v>3</v>
      </c>
      <c r="H258">
        <v>464</v>
      </c>
      <c r="I258">
        <v>1392</v>
      </c>
    </row>
    <row r="259" spans="1:9" x14ac:dyDescent="0.3">
      <c r="A259">
        <v>1089</v>
      </c>
      <c r="B259" t="s">
        <v>190</v>
      </c>
      <c r="C259" t="s">
        <v>116</v>
      </c>
      <c r="D259" t="s">
        <v>35</v>
      </c>
      <c r="E259" t="s">
        <v>31</v>
      </c>
      <c r="F259" t="s">
        <v>93</v>
      </c>
      <c r="G259">
        <v>5</v>
      </c>
      <c r="H259">
        <v>3707</v>
      </c>
      <c r="I259">
        <v>18535</v>
      </c>
    </row>
    <row r="260" spans="1:9" x14ac:dyDescent="0.3">
      <c r="A260">
        <v>1211</v>
      </c>
      <c r="B260" t="s">
        <v>413</v>
      </c>
      <c r="C260" t="s">
        <v>251</v>
      </c>
      <c r="D260" t="s">
        <v>30</v>
      </c>
      <c r="E260" t="s">
        <v>56</v>
      </c>
      <c r="F260" t="s">
        <v>57</v>
      </c>
      <c r="G260">
        <v>5</v>
      </c>
      <c r="H260">
        <v>4613</v>
      </c>
      <c r="I260">
        <v>23065</v>
      </c>
    </row>
    <row r="261" spans="1:9" x14ac:dyDescent="0.3">
      <c r="A261">
        <v>1299</v>
      </c>
      <c r="B261" t="s">
        <v>261</v>
      </c>
      <c r="C261" t="s">
        <v>414</v>
      </c>
      <c r="D261" t="s">
        <v>11</v>
      </c>
      <c r="E261" t="s">
        <v>89</v>
      </c>
      <c r="F261" t="s">
        <v>133</v>
      </c>
      <c r="G261">
        <v>4</v>
      </c>
      <c r="H261">
        <v>685</v>
      </c>
      <c r="I261">
        <v>2740</v>
      </c>
    </row>
    <row r="262" spans="1:9" x14ac:dyDescent="0.3">
      <c r="A262">
        <v>1129</v>
      </c>
      <c r="B262" t="s">
        <v>384</v>
      </c>
      <c r="C262" t="s">
        <v>116</v>
      </c>
      <c r="D262" t="s">
        <v>35</v>
      </c>
      <c r="E262" t="s">
        <v>39</v>
      </c>
      <c r="F262" t="s">
        <v>114</v>
      </c>
      <c r="G262">
        <v>2</v>
      </c>
      <c r="H262">
        <v>3417</v>
      </c>
      <c r="I262">
        <v>6834</v>
      </c>
    </row>
    <row r="263" spans="1:9" x14ac:dyDescent="0.3">
      <c r="A263">
        <v>1275</v>
      </c>
      <c r="B263" t="s">
        <v>268</v>
      </c>
      <c r="C263" t="s">
        <v>245</v>
      </c>
      <c r="D263" t="s">
        <v>25</v>
      </c>
      <c r="E263" t="s">
        <v>136</v>
      </c>
      <c r="F263" t="s">
        <v>46</v>
      </c>
      <c r="G263">
        <v>4</v>
      </c>
      <c r="H263">
        <v>4423</v>
      </c>
      <c r="I263">
        <v>17692</v>
      </c>
    </row>
    <row r="264" spans="1:9" x14ac:dyDescent="0.3">
      <c r="A264">
        <v>1377</v>
      </c>
      <c r="B264" t="s">
        <v>86</v>
      </c>
      <c r="C264" t="s">
        <v>193</v>
      </c>
      <c r="D264" t="s">
        <v>25</v>
      </c>
      <c r="E264" t="s">
        <v>136</v>
      </c>
      <c r="F264" t="s">
        <v>22</v>
      </c>
      <c r="G264">
        <v>4</v>
      </c>
      <c r="H264">
        <v>3134</v>
      </c>
      <c r="I264">
        <v>12536</v>
      </c>
    </row>
    <row r="265" spans="1:9" x14ac:dyDescent="0.3">
      <c r="A265">
        <v>1407</v>
      </c>
      <c r="B265" t="s">
        <v>233</v>
      </c>
      <c r="C265" t="s">
        <v>318</v>
      </c>
      <c r="D265" t="s">
        <v>30</v>
      </c>
      <c r="E265" t="s">
        <v>45</v>
      </c>
      <c r="F265" t="s">
        <v>128</v>
      </c>
      <c r="G265">
        <v>3</v>
      </c>
      <c r="H265">
        <v>2523</v>
      </c>
      <c r="I265">
        <v>7569</v>
      </c>
    </row>
    <row r="266" spans="1:9" x14ac:dyDescent="0.3">
      <c r="A266">
        <v>1579</v>
      </c>
      <c r="B266" t="s">
        <v>408</v>
      </c>
      <c r="C266" t="s">
        <v>187</v>
      </c>
      <c r="D266" t="s">
        <v>25</v>
      </c>
      <c r="E266" t="s">
        <v>89</v>
      </c>
      <c r="F266" t="s">
        <v>27</v>
      </c>
      <c r="G266">
        <v>4</v>
      </c>
      <c r="H266">
        <v>333</v>
      </c>
      <c r="I266">
        <v>1332</v>
      </c>
    </row>
    <row r="267" spans="1:9" x14ac:dyDescent="0.3">
      <c r="A267">
        <v>1451</v>
      </c>
      <c r="B267" t="s">
        <v>338</v>
      </c>
      <c r="C267" t="s">
        <v>107</v>
      </c>
      <c r="D267" t="s">
        <v>30</v>
      </c>
      <c r="E267" t="s">
        <v>49</v>
      </c>
      <c r="F267" t="s">
        <v>128</v>
      </c>
      <c r="G267">
        <v>2</v>
      </c>
      <c r="H267">
        <v>2444</v>
      </c>
      <c r="I267">
        <v>4888</v>
      </c>
    </row>
    <row r="268" spans="1:9" x14ac:dyDescent="0.3">
      <c r="A268">
        <v>1084</v>
      </c>
      <c r="B268" t="s">
        <v>415</v>
      </c>
      <c r="C268" t="s">
        <v>103</v>
      </c>
      <c r="D268" t="s">
        <v>30</v>
      </c>
      <c r="E268" t="s">
        <v>140</v>
      </c>
      <c r="F268" t="s">
        <v>72</v>
      </c>
      <c r="G268">
        <v>2</v>
      </c>
      <c r="H268">
        <v>3716</v>
      </c>
      <c r="I268">
        <v>7432</v>
      </c>
    </row>
    <row r="269" spans="1:9" x14ac:dyDescent="0.3">
      <c r="A269">
        <v>1001</v>
      </c>
      <c r="B269" t="s">
        <v>416</v>
      </c>
      <c r="C269" t="s">
        <v>417</v>
      </c>
      <c r="D269" t="s">
        <v>62</v>
      </c>
      <c r="E269" t="s">
        <v>31</v>
      </c>
      <c r="F269" t="s">
        <v>93</v>
      </c>
      <c r="G269">
        <v>1</v>
      </c>
      <c r="H269">
        <v>266</v>
      </c>
      <c r="I269">
        <v>266</v>
      </c>
    </row>
    <row r="270" spans="1:9" x14ac:dyDescent="0.3">
      <c r="A270">
        <v>1432</v>
      </c>
      <c r="B270" t="s">
        <v>315</v>
      </c>
      <c r="C270" t="s">
        <v>418</v>
      </c>
      <c r="D270" t="s">
        <v>52</v>
      </c>
      <c r="E270" t="s">
        <v>49</v>
      </c>
      <c r="F270" t="s">
        <v>124</v>
      </c>
      <c r="G270">
        <v>1</v>
      </c>
      <c r="H270">
        <v>1039</v>
      </c>
      <c r="I270">
        <v>1039</v>
      </c>
    </row>
    <row r="271" spans="1:9" x14ac:dyDescent="0.3">
      <c r="A271">
        <v>1306</v>
      </c>
      <c r="B271" t="s">
        <v>419</v>
      </c>
      <c r="C271" t="s">
        <v>182</v>
      </c>
      <c r="D271" t="s">
        <v>42</v>
      </c>
      <c r="E271" t="s">
        <v>17</v>
      </c>
      <c r="F271" t="s">
        <v>114</v>
      </c>
      <c r="G271">
        <v>5</v>
      </c>
      <c r="H271">
        <v>1544</v>
      </c>
      <c r="I271">
        <v>7720</v>
      </c>
    </row>
    <row r="272" spans="1:9" x14ac:dyDescent="0.3">
      <c r="A272">
        <v>1155</v>
      </c>
      <c r="B272" t="s">
        <v>322</v>
      </c>
      <c r="C272" t="s">
        <v>350</v>
      </c>
      <c r="D272" t="s">
        <v>25</v>
      </c>
      <c r="E272" t="s">
        <v>136</v>
      </c>
      <c r="F272" t="s">
        <v>128</v>
      </c>
      <c r="G272">
        <v>2</v>
      </c>
      <c r="H272">
        <v>1208</v>
      </c>
      <c r="I272">
        <v>2416</v>
      </c>
    </row>
    <row r="273" spans="1:9" x14ac:dyDescent="0.3">
      <c r="A273">
        <v>1439</v>
      </c>
      <c r="B273" t="s">
        <v>43</v>
      </c>
      <c r="C273" t="s">
        <v>420</v>
      </c>
      <c r="D273" t="s">
        <v>25</v>
      </c>
      <c r="E273" t="s">
        <v>100</v>
      </c>
      <c r="F273" t="s">
        <v>114</v>
      </c>
      <c r="G273">
        <v>2</v>
      </c>
      <c r="H273">
        <v>4733</v>
      </c>
      <c r="I273">
        <v>9466</v>
      </c>
    </row>
    <row r="274" spans="1:9" x14ac:dyDescent="0.3">
      <c r="A274">
        <v>1291</v>
      </c>
      <c r="B274" t="s">
        <v>421</v>
      </c>
      <c r="C274" t="s">
        <v>152</v>
      </c>
      <c r="D274" t="s">
        <v>52</v>
      </c>
      <c r="E274" t="s">
        <v>12</v>
      </c>
      <c r="F274" t="s">
        <v>13</v>
      </c>
      <c r="G274">
        <v>3</v>
      </c>
      <c r="H274">
        <v>647</v>
      </c>
      <c r="I274">
        <v>1941</v>
      </c>
    </row>
    <row r="275" spans="1:9" x14ac:dyDescent="0.3">
      <c r="A275">
        <v>1245</v>
      </c>
      <c r="B275" t="s">
        <v>334</v>
      </c>
      <c r="C275" t="s">
        <v>422</v>
      </c>
      <c r="D275" t="s">
        <v>25</v>
      </c>
      <c r="E275" t="s">
        <v>92</v>
      </c>
      <c r="F275" t="s">
        <v>93</v>
      </c>
      <c r="G275">
        <v>5</v>
      </c>
      <c r="H275">
        <v>298</v>
      </c>
      <c r="I275">
        <v>1490</v>
      </c>
    </row>
    <row r="276" spans="1:9" x14ac:dyDescent="0.3">
      <c r="A276">
        <v>1135</v>
      </c>
      <c r="B276" t="s">
        <v>423</v>
      </c>
      <c r="C276" t="s">
        <v>424</v>
      </c>
      <c r="E276" t="s">
        <v>49</v>
      </c>
      <c r="F276" t="s">
        <v>22</v>
      </c>
      <c r="G276">
        <v>1</v>
      </c>
      <c r="H276">
        <v>336</v>
      </c>
      <c r="I276">
        <v>336</v>
      </c>
    </row>
    <row r="277" spans="1:9" x14ac:dyDescent="0.3">
      <c r="A277">
        <v>1220</v>
      </c>
      <c r="B277" t="s">
        <v>425</v>
      </c>
      <c r="C277" t="s">
        <v>426</v>
      </c>
      <c r="D277" t="s">
        <v>52</v>
      </c>
      <c r="E277" t="s">
        <v>56</v>
      </c>
      <c r="F277" t="s">
        <v>78</v>
      </c>
      <c r="G277">
        <v>4</v>
      </c>
      <c r="H277">
        <v>3495</v>
      </c>
      <c r="I277">
        <v>13980</v>
      </c>
    </row>
    <row r="278" spans="1:9" x14ac:dyDescent="0.3">
      <c r="A278">
        <v>1156</v>
      </c>
      <c r="B278" t="s">
        <v>165</v>
      </c>
      <c r="C278" t="s">
        <v>132</v>
      </c>
      <c r="D278" t="s">
        <v>11</v>
      </c>
      <c r="E278" t="s">
        <v>12</v>
      </c>
      <c r="F278" t="s">
        <v>27</v>
      </c>
      <c r="G278">
        <v>5</v>
      </c>
      <c r="H278">
        <v>2876</v>
      </c>
      <c r="I278">
        <v>14380</v>
      </c>
    </row>
    <row r="279" spans="1:9" x14ac:dyDescent="0.3">
      <c r="A279">
        <v>1067</v>
      </c>
      <c r="B279" t="s">
        <v>427</v>
      </c>
      <c r="C279" t="s">
        <v>20</v>
      </c>
      <c r="D279" t="s">
        <v>16</v>
      </c>
      <c r="E279" t="s">
        <v>136</v>
      </c>
      <c r="F279" t="s">
        <v>128</v>
      </c>
      <c r="G279">
        <v>1</v>
      </c>
      <c r="H279">
        <v>3759</v>
      </c>
      <c r="I279">
        <v>3759</v>
      </c>
    </row>
    <row r="280" spans="1:9" x14ac:dyDescent="0.3">
      <c r="A280">
        <v>1056</v>
      </c>
      <c r="B280" t="s">
        <v>427</v>
      </c>
      <c r="C280" t="s">
        <v>103</v>
      </c>
      <c r="D280" t="s">
        <v>11</v>
      </c>
      <c r="E280" t="s">
        <v>17</v>
      </c>
      <c r="F280" t="s">
        <v>72</v>
      </c>
      <c r="G280">
        <v>1</v>
      </c>
      <c r="H280">
        <v>1542</v>
      </c>
      <c r="I280">
        <v>1542</v>
      </c>
    </row>
    <row r="281" spans="1:9" x14ac:dyDescent="0.3">
      <c r="A281">
        <v>1529</v>
      </c>
      <c r="B281" t="s">
        <v>428</v>
      </c>
      <c r="C281" t="s">
        <v>218</v>
      </c>
      <c r="D281" t="s">
        <v>25</v>
      </c>
      <c r="E281" t="s">
        <v>36</v>
      </c>
      <c r="F281" t="s">
        <v>13</v>
      </c>
      <c r="G281">
        <v>1</v>
      </c>
      <c r="H281">
        <v>2944</v>
      </c>
      <c r="I281">
        <v>2944</v>
      </c>
    </row>
    <row r="282" spans="1:9" x14ac:dyDescent="0.3">
      <c r="A282">
        <v>1065</v>
      </c>
      <c r="B282" t="s">
        <v>429</v>
      </c>
      <c r="C282" t="s">
        <v>289</v>
      </c>
      <c r="D282" t="s">
        <v>35</v>
      </c>
      <c r="E282" t="s">
        <v>92</v>
      </c>
      <c r="F282" t="s">
        <v>78</v>
      </c>
      <c r="G282">
        <v>1</v>
      </c>
      <c r="H282">
        <v>4292</v>
      </c>
      <c r="I282">
        <v>4292</v>
      </c>
    </row>
    <row r="283" spans="1:9" x14ac:dyDescent="0.3">
      <c r="A283">
        <v>1161</v>
      </c>
      <c r="B283" t="s">
        <v>122</v>
      </c>
      <c r="C283" t="s">
        <v>284</v>
      </c>
      <c r="D283" t="s">
        <v>16</v>
      </c>
      <c r="E283" t="s">
        <v>83</v>
      </c>
      <c r="F283" t="s">
        <v>57</v>
      </c>
      <c r="G283">
        <v>5</v>
      </c>
      <c r="H283">
        <v>221</v>
      </c>
      <c r="I283">
        <v>1105</v>
      </c>
    </row>
    <row r="284" spans="1:9" x14ac:dyDescent="0.3">
      <c r="A284">
        <v>1250</v>
      </c>
      <c r="B284" t="s">
        <v>134</v>
      </c>
      <c r="C284" t="s">
        <v>430</v>
      </c>
      <c r="D284" t="s">
        <v>11</v>
      </c>
      <c r="E284" t="s">
        <v>12</v>
      </c>
      <c r="F284" t="s">
        <v>75</v>
      </c>
      <c r="G284">
        <v>1</v>
      </c>
      <c r="H284">
        <v>4729</v>
      </c>
      <c r="I284">
        <v>4729</v>
      </c>
    </row>
    <row r="285" spans="1:9" x14ac:dyDescent="0.3">
      <c r="A285">
        <v>1429</v>
      </c>
      <c r="B285" t="s">
        <v>155</v>
      </c>
      <c r="C285" t="s">
        <v>239</v>
      </c>
      <c r="D285" t="s">
        <v>30</v>
      </c>
      <c r="E285" t="s">
        <v>100</v>
      </c>
      <c r="F285" t="s">
        <v>53</v>
      </c>
      <c r="G285">
        <v>1</v>
      </c>
      <c r="H285">
        <v>4882</v>
      </c>
      <c r="I285">
        <v>4882</v>
      </c>
    </row>
    <row r="286" spans="1:9" x14ac:dyDescent="0.3">
      <c r="A286">
        <v>1053</v>
      </c>
      <c r="B286" t="s">
        <v>364</v>
      </c>
      <c r="C286" t="s">
        <v>326</v>
      </c>
      <c r="D286" t="s">
        <v>62</v>
      </c>
      <c r="E286" t="s">
        <v>83</v>
      </c>
      <c r="F286" t="s">
        <v>78</v>
      </c>
      <c r="G286">
        <v>3</v>
      </c>
      <c r="H286">
        <v>2745</v>
      </c>
      <c r="I286">
        <v>8235</v>
      </c>
    </row>
    <row r="287" spans="1:9" x14ac:dyDescent="0.3">
      <c r="A287">
        <v>1008</v>
      </c>
      <c r="B287" t="s">
        <v>431</v>
      </c>
      <c r="C287" t="s">
        <v>432</v>
      </c>
      <c r="D287" t="s">
        <v>16</v>
      </c>
      <c r="E287" t="s">
        <v>36</v>
      </c>
      <c r="F287" t="s">
        <v>133</v>
      </c>
      <c r="G287">
        <v>4</v>
      </c>
      <c r="H287">
        <v>3216</v>
      </c>
      <c r="I287">
        <v>12864</v>
      </c>
    </row>
    <row r="288" spans="1:9" x14ac:dyDescent="0.3">
      <c r="A288">
        <v>1200</v>
      </c>
      <c r="B288" t="s">
        <v>380</v>
      </c>
      <c r="C288" t="s">
        <v>433</v>
      </c>
      <c r="D288" t="s">
        <v>52</v>
      </c>
      <c r="E288" t="s">
        <v>17</v>
      </c>
      <c r="F288" t="s">
        <v>114</v>
      </c>
      <c r="G288">
        <v>1</v>
      </c>
      <c r="H288">
        <v>2108</v>
      </c>
      <c r="I288">
        <v>2108</v>
      </c>
    </row>
    <row r="289" spans="1:9" x14ac:dyDescent="0.3">
      <c r="A289">
        <v>1009</v>
      </c>
      <c r="B289" t="s">
        <v>434</v>
      </c>
      <c r="C289" t="s">
        <v>107</v>
      </c>
      <c r="D289" t="s">
        <v>16</v>
      </c>
      <c r="E289" t="s">
        <v>136</v>
      </c>
      <c r="F289" t="s">
        <v>22</v>
      </c>
      <c r="G289">
        <v>5</v>
      </c>
      <c r="H289">
        <v>2151</v>
      </c>
      <c r="I289">
        <v>10755</v>
      </c>
    </row>
    <row r="290" spans="1:9" x14ac:dyDescent="0.3">
      <c r="A290">
        <v>1145</v>
      </c>
      <c r="B290" t="s">
        <v>435</v>
      </c>
      <c r="C290" t="s">
        <v>436</v>
      </c>
      <c r="D290" t="s">
        <v>52</v>
      </c>
      <c r="E290" t="s">
        <v>31</v>
      </c>
      <c r="F290" t="s">
        <v>32</v>
      </c>
      <c r="G290">
        <v>3</v>
      </c>
      <c r="H290">
        <v>3955</v>
      </c>
      <c r="I290">
        <v>11865</v>
      </c>
    </row>
    <row r="291" spans="1:9" x14ac:dyDescent="0.3">
      <c r="A291">
        <v>1097</v>
      </c>
      <c r="B291" t="s">
        <v>437</v>
      </c>
      <c r="C291" t="s">
        <v>409</v>
      </c>
      <c r="D291" t="s">
        <v>52</v>
      </c>
      <c r="E291" t="s">
        <v>136</v>
      </c>
      <c r="F291" t="s">
        <v>124</v>
      </c>
      <c r="G291">
        <v>2</v>
      </c>
      <c r="H291">
        <v>2139</v>
      </c>
      <c r="I291">
        <v>4278</v>
      </c>
    </row>
    <row r="292" spans="1:9" x14ac:dyDescent="0.3">
      <c r="A292">
        <v>1402</v>
      </c>
      <c r="B292" t="s">
        <v>360</v>
      </c>
      <c r="C292" t="s">
        <v>293</v>
      </c>
      <c r="D292" t="s">
        <v>30</v>
      </c>
      <c r="E292" t="s">
        <v>26</v>
      </c>
      <c r="F292" t="s">
        <v>95</v>
      </c>
      <c r="G292">
        <v>2</v>
      </c>
      <c r="H292">
        <v>811</v>
      </c>
      <c r="I292">
        <v>1622</v>
      </c>
    </row>
    <row r="293" spans="1:9" x14ac:dyDescent="0.3">
      <c r="A293">
        <v>1598</v>
      </c>
      <c r="B293" t="s">
        <v>158</v>
      </c>
      <c r="C293" t="s">
        <v>438</v>
      </c>
      <c r="D293" t="s">
        <v>62</v>
      </c>
      <c r="E293" t="s">
        <v>92</v>
      </c>
      <c r="F293" t="s">
        <v>93</v>
      </c>
      <c r="G293">
        <v>3</v>
      </c>
      <c r="H293">
        <v>3530</v>
      </c>
      <c r="I293">
        <v>10590</v>
      </c>
    </row>
    <row r="294" spans="1:9" x14ac:dyDescent="0.3">
      <c r="A294">
        <v>1212</v>
      </c>
      <c r="B294" t="s">
        <v>439</v>
      </c>
      <c r="C294" t="s">
        <v>118</v>
      </c>
      <c r="D294" t="s">
        <v>25</v>
      </c>
      <c r="E294" t="s">
        <v>136</v>
      </c>
      <c r="F294" t="s">
        <v>22</v>
      </c>
      <c r="G294">
        <v>2</v>
      </c>
      <c r="H294">
        <v>2692</v>
      </c>
      <c r="I294">
        <v>5384</v>
      </c>
    </row>
    <row r="295" spans="1:9" x14ac:dyDescent="0.3">
      <c r="A295">
        <v>1041</v>
      </c>
      <c r="B295" t="s">
        <v>440</v>
      </c>
      <c r="C295" t="s">
        <v>34</v>
      </c>
      <c r="D295" t="s">
        <v>16</v>
      </c>
      <c r="E295" t="s">
        <v>89</v>
      </c>
      <c r="F295" t="s">
        <v>13</v>
      </c>
      <c r="G295">
        <v>3</v>
      </c>
      <c r="H295">
        <v>3446</v>
      </c>
      <c r="I295">
        <v>10338</v>
      </c>
    </row>
    <row r="296" spans="1:9" x14ac:dyDescent="0.3">
      <c r="A296">
        <v>1266</v>
      </c>
      <c r="B296" t="s">
        <v>441</v>
      </c>
      <c r="C296" t="s">
        <v>442</v>
      </c>
      <c r="D296" t="s">
        <v>25</v>
      </c>
      <c r="E296" t="s">
        <v>49</v>
      </c>
      <c r="F296" t="s">
        <v>46</v>
      </c>
      <c r="G296">
        <v>4</v>
      </c>
      <c r="H296">
        <v>1034</v>
      </c>
      <c r="I296">
        <v>4136</v>
      </c>
    </row>
    <row r="297" spans="1:9" x14ac:dyDescent="0.3">
      <c r="A297">
        <v>1012</v>
      </c>
      <c r="B297" t="s">
        <v>79</v>
      </c>
      <c r="C297" t="s">
        <v>293</v>
      </c>
      <c r="D297" t="s">
        <v>52</v>
      </c>
      <c r="E297" t="s">
        <v>39</v>
      </c>
      <c r="F297" t="s">
        <v>114</v>
      </c>
      <c r="G297">
        <v>3</v>
      </c>
      <c r="H297">
        <v>888</v>
      </c>
      <c r="I297">
        <v>2664</v>
      </c>
    </row>
    <row r="298" spans="1:9" x14ac:dyDescent="0.3">
      <c r="A298">
        <v>1076</v>
      </c>
      <c r="B298" t="s">
        <v>401</v>
      </c>
      <c r="C298" t="s">
        <v>361</v>
      </c>
      <c r="D298" t="s">
        <v>25</v>
      </c>
      <c r="E298" t="s">
        <v>39</v>
      </c>
      <c r="F298" t="s">
        <v>53</v>
      </c>
      <c r="G298">
        <v>3</v>
      </c>
      <c r="H298">
        <v>1203</v>
      </c>
      <c r="I298">
        <v>3609</v>
      </c>
    </row>
    <row r="299" spans="1:9" x14ac:dyDescent="0.3">
      <c r="A299">
        <v>1172</v>
      </c>
      <c r="B299" t="s">
        <v>443</v>
      </c>
      <c r="C299" t="s">
        <v>444</v>
      </c>
      <c r="D299" t="s">
        <v>52</v>
      </c>
      <c r="E299" t="s">
        <v>136</v>
      </c>
      <c r="F299" t="s">
        <v>46</v>
      </c>
      <c r="G299">
        <v>4</v>
      </c>
      <c r="H299">
        <v>1615</v>
      </c>
      <c r="I299">
        <v>6460</v>
      </c>
    </row>
    <row r="300" spans="1:9" x14ac:dyDescent="0.3">
      <c r="A300">
        <v>1281</v>
      </c>
      <c r="B300" t="s">
        <v>336</v>
      </c>
      <c r="C300" t="s">
        <v>445</v>
      </c>
      <c r="D300" t="s">
        <v>30</v>
      </c>
      <c r="E300" t="s">
        <v>39</v>
      </c>
      <c r="F300" t="s">
        <v>72</v>
      </c>
      <c r="G300">
        <v>4</v>
      </c>
      <c r="H300">
        <v>3575</v>
      </c>
      <c r="I300">
        <v>14300</v>
      </c>
    </row>
    <row r="301" spans="1:9" x14ac:dyDescent="0.3">
      <c r="A301">
        <v>1089</v>
      </c>
      <c r="B301" t="s">
        <v>336</v>
      </c>
      <c r="C301" t="s">
        <v>422</v>
      </c>
      <c r="D301" t="s">
        <v>16</v>
      </c>
      <c r="E301" t="s">
        <v>39</v>
      </c>
      <c r="F301" t="s">
        <v>53</v>
      </c>
      <c r="G301">
        <v>5</v>
      </c>
      <c r="H301">
        <v>359</v>
      </c>
      <c r="I301">
        <v>1795</v>
      </c>
    </row>
    <row r="302" spans="1:9" x14ac:dyDescent="0.3">
      <c r="A302">
        <v>1367</v>
      </c>
      <c r="B302" t="s">
        <v>178</v>
      </c>
      <c r="C302" t="s">
        <v>412</v>
      </c>
      <c r="D302" t="s">
        <v>52</v>
      </c>
      <c r="E302" t="s">
        <v>21</v>
      </c>
      <c r="F302" t="s">
        <v>22</v>
      </c>
      <c r="G302">
        <v>3</v>
      </c>
      <c r="H302">
        <v>1673</v>
      </c>
      <c r="I302">
        <v>5019</v>
      </c>
    </row>
    <row r="303" spans="1:9" x14ac:dyDescent="0.3">
      <c r="A303">
        <v>1030</v>
      </c>
      <c r="B303" t="s">
        <v>336</v>
      </c>
      <c r="C303" t="s">
        <v>64</v>
      </c>
      <c r="D303" t="s">
        <v>16</v>
      </c>
      <c r="E303" t="s">
        <v>21</v>
      </c>
      <c r="F303" t="s">
        <v>67</v>
      </c>
      <c r="G303">
        <v>2</v>
      </c>
      <c r="H303">
        <v>1020</v>
      </c>
      <c r="I303">
        <v>2040</v>
      </c>
    </row>
    <row r="304" spans="1:9" x14ac:dyDescent="0.3">
      <c r="A304">
        <v>1546</v>
      </c>
      <c r="B304" t="s">
        <v>446</v>
      </c>
      <c r="C304" t="s">
        <v>59</v>
      </c>
      <c r="D304" t="s">
        <v>35</v>
      </c>
      <c r="E304" t="s">
        <v>140</v>
      </c>
      <c r="F304" t="s">
        <v>18</v>
      </c>
      <c r="G304">
        <v>2</v>
      </c>
      <c r="H304">
        <v>1642</v>
      </c>
      <c r="I304">
        <v>3284</v>
      </c>
    </row>
    <row r="305" spans="1:9" x14ac:dyDescent="0.3">
      <c r="A305">
        <v>1367</v>
      </c>
      <c r="B305" t="s">
        <v>447</v>
      </c>
      <c r="C305" t="s">
        <v>442</v>
      </c>
      <c r="D305" t="s">
        <v>16</v>
      </c>
      <c r="E305" t="s">
        <v>12</v>
      </c>
      <c r="F305" t="s">
        <v>133</v>
      </c>
      <c r="G305">
        <v>4</v>
      </c>
      <c r="H305">
        <v>4641</v>
      </c>
      <c r="I305">
        <v>18564</v>
      </c>
    </row>
    <row r="306" spans="1:9" x14ac:dyDescent="0.3">
      <c r="A306">
        <v>1092</v>
      </c>
      <c r="B306" t="s">
        <v>446</v>
      </c>
      <c r="C306" t="s">
        <v>173</v>
      </c>
      <c r="D306" t="s">
        <v>42</v>
      </c>
      <c r="E306" t="s">
        <v>140</v>
      </c>
      <c r="F306" t="s">
        <v>72</v>
      </c>
      <c r="G306">
        <v>3</v>
      </c>
      <c r="H306">
        <v>1850</v>
      </c>
      <c r="I306">
        <v>5550</v>
      </c>
    </row>
    <row r="307" spans="1:9" x14ac:dyDescent="0.3">
      <c r="A307">
        <v>1181</v>
      </c>
      <c r="B307" t="s">
        <v>448</v>
      </c>
      <c r="C307" t="s">
        <v>148</v>
      </c>
      <c r="D307" t="s">
        <v>25</v>
      </c>
      <c r="E307" t="s">
        <v>31</v>
      </c>
      <c r="F307" t="s">
        <v>93</v>
      </c>
      <c r="G307">
        <v>5</v>
      </c>
      <c r="H307">
        <v>3189</v>
      </c>
      <c r="I307">
        <v>15945</v>
      </c>
    </row>
    <row r="308" spans="1:9" x14ac:dyDescent="0.3">
      <c r="A308">
        <v>1405</v>
      </c>
      <c r="B308" t="s">
        <v>192</v>
      </c>
      <c r="C308" t="s">
        <v>449</v>
      </c>
      <c r="D308" t="s">
        <v>11</v>
      </c>
      <c r="E308" t="s">
        <v>36</v>
      </c>
      <c r="F308" t="s">
        <v>95</v>
      </c>
      <c r="G308">
        <v>2</v>
      </c>
      <c r="H308">
        <v>3778</v>
      </c>
      <c r="I308">
        <v>7556</v>
      </c>
    </row>
    <row r="309" spans="1:9" x14ac:dyDescent="0.3">
      <c r="A309">
        <v>1324</v>
      </c>
      <c r="B309" t="s">
        <v>441</v>
      </c>
      <c r="C309" t="s">
        <v>381</v>
      </c>
      <c r="D309" t="s">
        <v>52</v>
      </c>
      <c r="E309" t="s">
        <v>12</v>
      </c>
      <c r="F309" t="s">
        <v>13</v>
      </c>
      <c r="G309">
        <v>3</v>
      </c>
      <c r="H309">
        <v>2612</v>
      </c>
      <c r="I309">
        <v>7836</v>
      </c>
    </row>
    <row r="310" spans="1:9" x14ac:dyDescent="0.3">
      <c r="A310">
        <v>1586</v>
      </c>
      <c r="B310" t="s">
        <v>450</v>
      </c>
      <c r="C310" t="s">
        <v>126</v>
      </c>
      <c r="D310" t="s">
        <v>16</v>
      </c>
      <c r="E310" t="s">
        <v>56</v>
      </c>
      <c r="F310" t="s">
        <v>93</v>
      </c>
      <c r="G310">
        <v>5</v>
      </c>
      <c r="H310">
        <v>1052</v>
      </c>
      <c r="I310">
        <v>5260</v>
      </c>
    </row>
    <row r="311" spans="1:9" x14ac:dyDescent="0.3">
      <c r="A311">
        <v>1079</v>
      </c>
      <c r="B311" t="s">
        <v>451</v>
      </c>
      <c r="C311" t="s">
        <v>452</v>
      </c>
      <c r="D311" t="s">
        <v>35</v>
      </c>
      <c r="E311" t="s">
        <v>89</v>
      </c>
      <c r="F311" t="s">
        <v>13</v>
      </c>
      <c r="G311">
        <v>4</v>
      </c>
      <c r="H311">
        <v>293</v>
      </c>
      <c r="I311">
        <v>1172</v>
      </c>
    </row>
    <row r="312" spans="1:9" x14ac:dyDescent="0.3">
      <c r="A312">
        <v>1069</v>
      </c>
      <c r="B312" t="s">
        <v>117</v>
      </c>
      <c r="C312" t="s">
        <v>453</v>
      </c>
      <c r="D312" t="s">
        <v>52</v>
      </c>
      <c r="E312" t="s">
        <v>83</v>
      </c>
      <c r="F312" t="s">
        <v>32</v>
      </c>
      <c r="G312">
        <v>4</v>
      </c>
      <c r="H312">
        <v>3637</v>
      </c>
      <c r="I312">
        <v>14548</v>
      </c>
    </row>
    <row r="313" spans="1:9" x14ac:dyDescent="0.3">
      <c r="A313">
        <v>1504</v>
      </c>
      <c r="B313" t="s">
        <v>396</v>
      </c>
      <c r="C313" t="s">
        <v>400</v>
      </c>
      <c r="D313" t="s">
        <v>16</v>
      </c>
      <c r="E313" t="s">
        <v>45</v>
      </c>
      <c r="F313" t="s">
        <v>124</v>
      </c>
      <c r="G313">
        <v>2</v>
      </c>
      <c r="H313">
        <v>3896</v>
      </c>
      <c r="I313">
        <v>7792</v>
      </c>
    </row>
    <row r="314" spans="1:9" x14ac:dyDescent="0.3">
      <c r="A314">
        <v>1301</v>
      </c>
      <c r="B314" t="s">
        <v>298</v>
      </c>
      <c r="C314" t="s">
        <v>372</v>
      </c>
      <c r="D314" t="s">
        <v>35</v>
      </c>
      <c r="E314" t="s">
        <v>89</v>
      </c>
      <c r="F314" t="s">
        <v>27</v>
      </c>
      <c r="G314">
        <v>2</v>
      </c>
      <c r="H314">
        <v>3275</v>
      </c>
      <c r="I314">
        <v>6550</v>
      </c>
    </row>
    <row r="315" spans="1:9" x14ac:dyDescent="0.3">
      <c r="A315">
        <v>1095</v>
      </c>
      <c r="B315" t="s">
        <v>304</v>
      </c>
      <c r="C315" t="s">
        <v>189</v>
      </c>
      <c r="D315" t="s">
        <v>11</v>
      </c>
      <c r="E315" t="s">
        <v>45</v>
      </c>
      <c r="F315" t="s">
        <v>124</v>
      </c>
      <c r="G315">
        <v>5</v>
      </c>
      <c r="H315">
        <v>3756</v>
      </c>
      <c r="I315">
        <v>18780</v>
      </c>
    </row>
    <row r="316" spans="1:9" x14ac:dyDescent="0.3">
      <c r="A316">
        <v>1210</v>
      </c>
      <c r="B316" t="s">
        <v>76</v>
      </c>
      <c r="C316" t="s">
        <v>85</v>
      </c>
      <c r="D316" t="s">
        <v>16</v>
      </c>
      <c r="E316" t="s">
        <v>36</v>
      </c>
      <c r="F316" t="s">
        <v>95</v>
      </c>
      <c r="G316">
        <v>1</v>
      </c>
      <c r="H316">
        <v>606</v>
      </c>
      <c r="I316">
        <v>606</v>
      </c>
    </row>
    <row r="317" spans="1:9" x14ac:dyDescent="0.3">
      <c r="A317">
        <v>1502</v>
      </c>
      <c r="B317" t="s">
        <v>50</v>
      </c>
      <c r="C317" t="s">
        <v>454</v>
      </c>
      <c r="D317" t="s">
        <v>25</v>
      </c>
      <c r="E317" t="s">
        <v>26</v>
      </c>
      <c r="F317" t="s">
        <v>27</v>
      </c>
      <c r="G317">
        <v>3</v>
      </c>
      <c r="H317">
        <v>4134</v>
      </c>
      <c r="I317">
        <v>12402</v>
      </c>
    </row>
    <row r="318" spans="1:9" x14ac:dyDescent="0.3">
      <c r="A318">
        <v>1174</v>
      </c>
      <c r="B318" t="s">
        <v>455</v>
      </c>
      <c r="C318" t="s">
        <v>370</v>
      </c>
      <c r="D318" t="s">
        <v>30</v>
      </c>
      <c r="E318" t="s">
        <v>83</v>
      </c>
      <c r="F318" t="s">
        <v>78</v>
      </c>
      <c r="G318">
        <v>4</v>
      </c>
      <c r="H318">
        <v>4057</v>
      </c>
      <c r="I318">
        <v>16228</v>
      </c>
    </row>
    <row r="319" spans="1:9" x14ac:dyDescent="0.3">
      <c r="A319">
        <v>1093</v>
      </c>
      <c r="B319" t="s">
        <v>456</v>
      </c>
      <c r="C319" t="s">
        <v>412</v>
      </c>
      <c r="D319" t="s">
        <v>52</v>
      </c>
      <c r="E319" t="s">
        <v>21</v>
      </c>
      <c r="F319" t="s">
        <v>128</v>
      </c>
      <c r="G319">
        <v>3</v>
      </c>
      <c r="H319">
        <v>1728</v>
      </c>
      <c r="I319">
        <v>5184</v>
      </c>
    </row>
    <row r="320" spans="1:9" x14ac:dyDescent="0.3">
      <c r="A320">
        <v>1476</v>
      </c>
      <c r="B320" t="s">
        <v>429</v>
      </c>
      <c r="C320" t="s">
        <v>326</v>
      </c>
      <c r="D320" t="s">
        <v>11</v>
      </c>
      <c r="E320" t="s">
        <v>89</v>
      </c>
      <c r="F320" t="s">
        <v>133</v>
      </c>
      <c r="G320">
        <v>1</v>
      </c>
      <c r="H320">
        <v>902</v>
      </c>
      <c r="I320">
        <v>902</v>
      </c>
    </row>
    <row r="321" spans="1:9" x14ac:dyDescent="0.3">
      <c r="A321">
        <v>1423</v>
      </c>
      <c r="B321" t="s">
        <v>174</v>
      </c>
      <c r="C321" t="s">
        <v>457</v>
      </c>
      <c r="D321" t="s">
        <v>62</v>
      </c>
      <c r="E321" t="s">
        <v>92</v>
      </c>
      <c r="F321" t="s">
        <v>78</v>
      </c>
      <c r="G321">
        <v>5</v>
      </c>
      <c r="H321">
        <v>2130</v>
      </c>
      <c r="I321">
        <v>10650</v>
      </c>
    </row>
    <row r="322" spans="1:9" x14ac:dyDescent="0.3">
      <c r="A322">
        <v>1035</v>
      </c>
      <c r="B322" t="s">
        <v>369</v>
      </c>
      <c r="C322" t="s">
        <v>414</v>
      </c>
      <c r="D322" t="s">
        <v>11</v>
      </c>
      <c r="E322" t="s">
        <v>140</v>
      </c>
      <c r="F322" t="s">
        <v>72</v>
      </c>
      <c r="G322">
        <v>2</v>
      </c>
      <c r="H322">
        <v>1935</v>
      </c>
      <c r="I322">
        <v>3870</v>
      </c>
    </row>
    <row r="323" spans="1:9" x14ac:dyDescent="0.3">
      <c r="A323">
        <v>1433</v>
      </c>
      <c r="B323" t="s">
        <v>458</v>
      </c>
      <c r="C323" t="s">
        <v>351</v>
      </c>
      <c r="D323" t="s">
        <v>30</v>
      </c>
      <c r="E323" t="s">
        <v>49</v>
      </c>
      <c r="F323" t="s">
        <v>128</v>
      </c>
      <c r="G323">
        <v>3</v>
      </c>
      <c r="H323">
        <v>748</v>
      </c>
      <c r="I323">
        <v>2244</v>
      </c>
    </row>
    <row r="324" spans="1:9" x14ac:dyDescent="0.3">
      <c r="A324">
        <v>1565</v>
      </c>
      <c r="B324" t="s">
        <v>459</v>
      </c>
      <c r="C324" t="s">
        <v>238</v>
      </c>
      <c r="D324" t="s">
        <v>42</v>
      </c>
      <c r="E324" t="s">
        <v>26</v>
      </c>
      <c r="F324" t="s">
        <v>133</v>
      </c>
      <c r="G324">
        <v>5</v>
      </c>
      <c r="H324">
        <v>4480</v>
      </c>
      <c r="I324">
        <v>22400</v>
      </c>
    </row>
    <row r="325" spans="1:9" x14ac:dyDescent="0.3">
      <c r="A325">
        <v>1153</v>
      </c>
      <c r="B325" t="s">
        <v>343</v>
      </c>
      <c r="C325" t="s">
        <v>460</v>
      </c>
      <c r="D325" t="s">
        <v>30</v>
      </c>
      <c r="E325" t="s">
        <v>83</v>
      </c>
      <c r="F325" t="s">
        <v>32</v>
      </c>
      <c r="G325">
        <v>5</v>
      </c>
      <c r="H325">
        <v>3016</v>
      </c>
      <c r="I325">
        <v>15080</v>
      </c>
    </row>
    <row r="326" spans="1:9" x14ac:dyDescent="0.3">
      <c r="A326">
        <v>1497</v>
      </c>
      <c r="B326" t="s">
        <v>297</v>
      </c>
      <c r="C326" t="s">
        <v>201</v>
      </c>
      <c r="D326" t="s">
        <v>30</v>
      </c>
      <c r="E326" t="s">
        <v>49</v>
      </c>
      <c r="F326" t="s">
        <v>124</v>
      </c>
      <c r="G326">
        <v>4</v>
      </c>
      <c r="H326">
        <v>1378</v>
      </c>
      <c r="I326">
        <v>5512</v>
      </c>
    </row>
    <row r="327" spans="1:9" x14ac:dyDescent="0.3">
      <c r="A327">
        <v>1411</v>
      </c>
      <c r="B327" t="s">
        <v>120</v>
      </c>
      <c r="C327" t="s">
        <v>260</v>
      </c>
      <c r="D327" t="s">
        <v>62</v>
      </c>
      <c r="E327" t="s">
        <v>89</v>
      </c>
      <c r="F327" t="s">
        <v>13</v>
      </c>
      <c r="G327">
        <v>3</v>
      </c>
      <c r="H327">
        <v>3251</v>
      </c>
      <c r="I327">
        <v>9753</v>
      </c>
    </row>
    <row r="328" spans="1:9" x14ac:dyDescent="0.3">
      <c r="A328">
        <v>1310</v>
      </c>
      <c r="B328" t="s">
        <v>461</v>
      </c>
      <c r="C328" t="s">
        <v>436</v>
      </c>
      <c r="D328" t="s">
        <v>11</v>
      </c>
      <c r="E328" t="s">
        <v>49</v>
      </c>
      <c r="F328" t="s">
        <v>124</v>
      </c>
      <c r="G328">
        <v>3</v>
      </c>
      <c r="H328">
        <v>3829</v>
      </c>
      <c r="I328">
        <v>11487</v>
      </c>
    </row>
    <row r="329" spans="1:9" x14ac:dyDescent="0.3">
      <c r="A329">
        <v>1426</v>
      </c>
      <c r="B329" t="s">
        <v>104</v>
      </c>
      <c r="C329" t="s">
        <v>273</v>
      </c>
      <c r="D329" t="s">
        <v>16</v>
      </c>
      <c r="E329" t="s">
        <v>92</v>
      </c>
      <c r="F329" t="s">
        <v>93</v>
      </c>
      <c r="G329">
        <v>4</v>
      </c>
      <c r="H329">
        <v>4168</v>
      </c>
      <c r="I329">
        <v>16672</v>
      </c>
    </row>
    <row r="330" spans="1:9" x14ac:dyDescent="0.3">
      <c r="A330">
        <v>1057</v>
      </c>
      <c r="B330" t="s">
        <v>73</v>
      </c>
      <c r="C330" t="s">
        <v>420</v>
      </c>
      <c r="D330" t="s">
        <v>52</v>
      </c>
      <c r="E330" t="s">
        <v>100</v>
      </c>
      <c r="F330" t="s">
        <v>72</v>
      </c>
      <c r="G330">
        <v>2</v>
      </c>
      <c r="H330">
        <v>4494</v>
      </c>
      <c r="I330">
        <v>8988</v>
      </c>
    </row>
    <row r="331" spans="1:9" x14ac:dyDescent="0.3">
      <c r="A331">
        <v>1197</v>
      </c>
      <c r="B331" t="s">
        <v>462</v>
      </c>
      <c r="C331" t="s">
        <v>463</v>
      </c>
      <c r="D331" t="s">
        <v>62</v>
      </c>
      <c r="E331" t="s">
        <v>83</v>
      </c>
      <c r="F331" t="s">
        <v>93</v>
      </c>
      <c r="G331">
        <v>1</v>
      </c>
      <c r="H331">
        <v>3152</v>
      </c>
      <c r="I331">
        <v>3152</v>
      </c>
    </row>
    <row r="332" spans="1:9" x14ac:dyDescent="0.3">
      <c r="A332">
        <v>1475</v>
      </c>
      <c r="B332" t="s">
        <v>437</v>
      </c>
      <c r="C332" t="s">
        <v>260</v>
      </c>
      <c r="D332" t="s">
        <v>35</v>
      </c>
      <c r="E332" t="s">
        <v>31</v>
      </c>
      <c r="F332" t="s">
        <v>32</v>
      </c>
      <c r="G332">
        <v>4</v>
      </c>
      <c r="H332">
        <v>3854</v>
      </c>
      <c r="I332">
        <v>15416</v>
      </c>
    </row>
    <row r="333" spans="1:9" x14ac:dyDescent="0.3">
      <c r="A333">
        <v>1600</v>
      </c>
      <c r="B333" t="s">
        <v>464</v>
      </c>
      <c r="C333" t="s">
        <v>400</v>
      </c>
      <c r="D333" t="s">
        <v>25</v>
      </c>
      <c r="E333" t="s">
        <v>36</v>
      </c>
      <c r="F333" t="s">
        <v>13</v>
      </c>
      <c r="G333">
        <v>3</v>
      </c>
      <c r="H333">
        <v>424</v>
      </c>
      <c r="I333">
        <v>1272</v>
      </c>
    </row>
    <row r="334" spans="1:9" x14ac:dyDescent="0.3">
      <c r="A334">
        <v>1585</v>
      </c>
      <c r="B334" t="s">
        <v>416</v>
      </c>
      <c r="C334" t="s">
        <v>238</v>
      </c>
      <c r="D334" t="s">
        <v>30</v>
      </c>
      <c r="E334" t="s">
        <v>39</v>
      </c>
      <c r="F334" t="s">
        <v>114</v>
      </c>
      <c r="G334">
        <v>4</v>
      </c>
      <c r="H334">
        <v>4404</v>
      </c>
      <c r="I334">
        <v>17616</v>
      </c>
    </row>
    <row r="335" spans="1:9" x14ac:dyDescent="0.3">
      <c r="A335">
        <v>1009</v>
      </c>
      <c r="B335" t="s">
        <v>465</v>
      </c>
      <c r="C335" t="s">
        <v>228</v>
      </c>
      <c r="D335" t="s">
        <v>16</v>
      </c>
      <c r="E335" t="s">
        <v>17</v>
      </c>
      <c r="F335" t="s">
        <v>114</v>
      </c>
      <c r="G335">
        <v>3</v>
      </c>
      <c r="H335">
        <v>2702</v>
      </c>
      <c r="I335">
        <v>8106</v>
      </c>
    </row>
    <row r="336" spans="1:9" x14ac:dyDescent="0.3">
      <c r="A336">
        <v>1281</v>
      </c>
      <c r="B336" t="s">
        <v>466</v>
      </c>
      <c r="C336" t="s">
        <v>388</v>
      </c>
      <c r="D336" t="s">
        <v>30</v>
      </c>
      <c r="E336" t="s">
        <v>45</v>
      </c>
      <c r="F336" t="s">
        <v>22</v>
      </c>
      <c r="G336">
        <v>2</v>
      </c>
      <c r="H336">
        <v>4023</v>
      </c>
      <c r="I336">
        <v>8046</v>
      </c>
    </row>
    <row r="337" spans="1:9" x14ac:dyDescent="0.3">
      <c r="A337">
        <v>1406</v>
      </c>
      <c r="B337" t="s">
        <v>47</v>
      </c>
      <c r="C337" t="s">
        <v>267</v>
      </c>
      <c r="D337" t="s">
        <v>30</v>
      </c>
      <c r="E337" t="s">
        <v>56</v>
      </c>
      <c r="F337" t="s">
        <v>57</v>
      </c>
      <c r="G337">
        <v>3</v>
      </c>
      <c r="H337">
        <v>1085</v>
      </c>
      <c r="I337">
        <v>3255</v>
      </c>
    </row>
    <row r="338" spans="1:9" x14ac:dyDescent="0.3">
      <c r="A338">
        <v>1283</v>
      </c>
      <c r="B338" t="s">
        <v>467</v>
      </c>
      <c r="C338" t="s">
        <v>226</v>
      </c>
      <c r="D338" t="s">
        <v>16</v>
      </c>
      <c r="E338" t="s">
        <v>36</v>
      </c>
      <c r="F338" t="s">
        <v>95</v>
      </c>
      <c r="G338">
        <v>2</v>
      </c>
      <c r="H338">
        <v>4437</v>
      </c>
      <c r="I338">
        <v>8874</v>
      </c>
    </row>
    <row r="339" spans="1:9" x14ac:dyDescent="0.3">
      <c r="A339">
        <v>1413</v>
      </c>
      <c r="B339" t="s">
        <v>468</v>
      </c>
      <c r="C339" t="s">
        <v>372</v>
      </c>
      <c r="D339" t="s">
        <v>30</v>
      </c>
      <c r="E339" t="s">
        <v>140</v>
      </c>
      <c r="F339" t="s">
        <v>72</v>
      </c>
      <c r="G339">
        <v>3</v>
      </c>
      <c r="H339">
        <v>3628</v>
      </c>
      <c r="I339">
        <v>10884</v>
      </c>
    </row>
    <row r="340" spans="1:9" x14ac:dyDescent="0.3">
      <c r="A340">
        <v>1597</v>
      </c>
      <c r="B340" t="s">
        <v>469</v>
      </c>
      <c r="C340" t="s">
        <v>414</v>
      </c>
      <c r="D340" t="s">
        <v>62</v>
      </c>
      <c r="E340" t="s">
        <v>39</v>
      </c>
      <c r="F340" t="s">
        <v>101</v>
      </c>
      <c r="G340">
        <v>3</v>
      </c>
      <c r="H340">
        <v>4355</v>
      </c>
      <c r="I340">
        <v>13065</v>
      </c>
    </row>
    <row r="341" spans="1:9" x14ac:dyDescent="0.3">
      <c r="A341">
        <v>1571</v>
      </c>
      <c r="B341" t="s">
        <v>470</v>
      </c>
      <c r="C341" t="s">
        <v>282</v>
      </c>
      <c r="D341" t="s">
        <v>30</v>
      </c>
      <c r="E341" t="s">
        <v>31</v>
      </c>
      <c r="F341" t="s">
        <v>78</v>
      </c>
      <c r="G341">
        <v>5</v>
      </c>
      <c r="H341">
        <v>1699</v>
      </c>
      <c r="I341">
        <v>8495</v>
      </c>
    </row>
    <row r="342" spans="1:9" x14ac:dyDescent="0.3">
      <c r="A342">
        <v>1091</v>
      </c>
      <c r="B342" t="s">
        <v>264</v>
      </c>
      <c r="C342" t="s">
        <v>167</v>
      </c>
      <c r="D342" t="s">
        <v>35</v>
      </c>
      <c r="E342" t="s">
        <v>140</v>
      </c>
      <c r="F342" t="s">
        <v>101</v>
      </c>
      <c r="G342">
        <v>3</v>
      </c>
      <c r="H342">
        <v>2334</v>
      </c>
      <c r="I342">
        <v>7002</v>
      </c>
    </row>
    <row r="343" spans="1:9" x14ac:dyDescent="0.3">
      <c r="A343">
        <v>1120</v>
      </c>
      <c r="B343" t="s">
        <v>213</v>
      </c>
      <c r="C343" t="s">
        <v>454</v>
      </c>
      <c r="D343" t="s">
        <v>25</v>
      </c>
      <c r="E343" t="s">
        <v>31</v>
      </c>
      <c r="F343" t="s">
        <v>78</v>
      </c>
      <c r="G343">
        <v>4</v>
      </c>
      <c r="H343">
        <v>4540</v>
      </c>
      <c r="I343">
        <v>18160</v>
      </c>
    </row>
    <row r="344" spans="1:9" x14ac:dyDescent="0.3">
      <c r="A344">
        <v>1154</v>
      </c>
      <c r="B344" t="s">
        <v>419</v>
      </c>
      <c r="C344" t="s">
        <v>432</v>
      </c>
      <c r="D344" t="s">
        <v>11</v>
      </c>
      <c r="E344" t="s">
        <v>26</v>
      </c>
      <c r="F344" t="s">
        <v>75</v>
      </c>
      <c r="G344">
        <v>3</v>
      </c>
      <c r="H344">
        <v>1677</v>
      </c>
      <c r="I344">
        <v>5031</v>
      </c>
    </row>
    <row r="345" spans="1:9" x14ac:dyDescent="0.3">
      <c r="A345">
        <v>1181</v>
      </c>
      <c r="B345" t="s">
        <v>344</v>
      </c>
      <c r="C345" t="s">
        <v>38</v>
      </c>
      <c r="D345" t="s">
        <v>30</v>
      </c>
      <c r="E345" t="s">
        <v>92</v>
      </c>
      <c r="F345" t="s">
        <v>32</v>
      </c>
      <c r="G345">
        <v>2</v>
      </c>
      <c r="H345">
        <v>1581</v>
      </c>
      <c r="I345">
        <v>3162</v>
      </c>
    </row>
    <row r="346" spans="1:9" x14ac:dyDescent="0.3">
      <c r="A346">
        <v>1090</v>
      </c>
      <c r="B346" t="s">
        <v>279</v>
      </c>
      <c r="C346" t="s">
        <v>350</v>
      </c>
      <c r="D346" t="s">
        <v>52</v>
      </c>
      <c r="E346" t="s">
        <v>45</v>
      </c>
      <c r="G346">
        <v>4</v>
      </c>
      <c r="H346">
        <v>3340</v>
      </c>
      <c r="I346">
        <v>13360</v>
      </c>
    </row>
    <row r="347" spans="1:9" x14ac:dyDescent="0.3">
      <c r="A347">
        <v>1382</v>
      </c>
      <c r="B347" t="s">
        <v>471</v>
      </c>
      <c r="C347" t="s">
        <v>363</v>
      </c>
      <c r="D347" t="s">
        <v>42</v>
      </c>
      <c r="E347" t="s">
        <v>12</v>
      </c>
      <c r="F347" t="s">
        <v>133</v>
      </c>
      <c r="G347">
        <v>1</v>
      </c>
      <c r="H347">
        <v>2238</v>
      </c>
      <c r="I347">
        <v>2238</v>
      </c>
    </row>
    <row r="348" spans="1:9" x14ac:dyDescent="0.3">
      <c r="A348">
        <v>1319</v>
      </c>
      <c r="B348" t="s">
        <v>279</v>
      </c>
      <c r="C348" t="s">
        <v>267</v>
      </c>
      <c r="D348" t="s">
        <v>11</v>
      </c>
      <c r="E348" t="s">
        <v>21</v>
      </c>
      <c r="F348" t="s">
        <v>67</v>
      </c>
      <c r="G348">
        <v>1</v>
      </c>
      <c r="H348">
        <v>574</v>
      </c>
      <c r="I348">
        <v>574</v>
      </c>
    </row>
    <row r="349" spans="1:9" x14ac:dyDescent="0.3">
      <c r="A349">
        <v>1532</v>
      </c>
      <c r="B349" t="s">
        <v>341</v>
      </c>
      <c r="C349" t="s">
        <v>472</v>
      </c>
      <c r="D349" t="s">
        <v>35</v>
      </c>
      <c r="E349" t="s">
        <v>12</v>
      </c>
      <c r="F349" t="s">
        <v>75</v>
      </c>
      <c r="G349">
        <v>4</v>
      </c>
      <c r="H349">
        <v>3142</v>
      </c>
      <c r="I349">
        <v>12568</v>
      </c>
    </row>
    <row r="350" spans="1:9" x14ac:dyDescent="0.3">
      <c r="A350">
        <v>1413</v>
      </c>
      <c r="B350" t="s">
        <v>473</v>
      </c>
      <c r="C350" t="s">
        <v>457</v>
      </c>
      <c r="D350" t="s">
        <v>42</v>
      </c>
      <c r="E350" t="s">
        <v>39</v>
      </c>
      <c r="F350" t="s">
        <v>114</v>
      </c>
      <c r="G350">
        <v>5</v>
      </c>
      <c r="H350">
        <v>4333</v>
      </c>
      <c r="I350">
        <v>21665</v>
      </c>
    </row>
    <row r="351" spans="1:9" x14ac:dyDescent="0.3">
      <c r="A351">
        <v>1038</v>
      </c>
      <c r="B351" t="s">
        <v>474</v>
      </c>
      <c r="C351" t="s">
        <v>324</v>
      </c>
      <c r="D351" t="s">
        <v>42</v>
      </c>
      <c r="E351" t="s">
        <v>89</v>
      </c>
      <c r="F351" t="s">
        <v>133</v>
      </c>
      <c r="G351">
        <v>1</v>
      </c>
      <c r="H351">
        <v>361</v>
      </c>
      <c r="I351">
        <v>361</v>
      </c>
    </row>
    <row r="352" spans="1:9" x14ac:dyDescent="0.3">
      <c r="A352">
        <v>1454</v>
      </c>
      <c r="B352" t="s">
        <v>475</v>
      </c>
      <c r="C352" t="s">
        <v>348</v>
      </c>
      <c r="D352" t="s">
        <v>16</v>
      </c>
      <c r="E352" t="s">
        <v>12</v>
      </c>
      <c r="F352" t="s">
        <v>75</v>
      </c>
      <c r="G352">
        <v>1</v>
      </c>
      <c r="H352">
        <v>2666</v>
      </c>
      <c r="I352">
        <v>2666</v>
      </c>
    </row>
    <row r="353" spans="1:9" x14ac:dyDescent="0.3">
      <c r="A353">
        <v>1532</v>
      </c>
      <c r="B353" t="s">
        <v>476</v>
      </c>
      <c r="C353" t="s">
        <v>477</v>
      </c>
      <c r="D353" t="s">
        <v>25</v>
      </c>
      <c r="E353" t="s">
        <v>17</v>
      </c>
      <c r="F353" t="s">
        <v>53</v>
      </c>
      <c r="G353">
        <v>3</v>
      </c>
      <c r="H353">
        <v>1133</v>
      </c>
      <c r="I353">
        <v>3399</v>
      </c>
    </row>
    <row r="354" spans="1:9" x14ac:dyDescent="0.3">
      <c r="A354">
        <v>1204</v>
      </c>
      <c r="B354" t="s">
        <v>429</v>
      </c>
      <c r="C354" t="s">
        <v>293</v>
      </c>
      <c r="D354" t="s">
        <v>30</v>
      </c>
      <c r="E354" t="s">
        <v>140</v>
      </c>
      <c r="F354" t="s">
        <v>101</v>
      </c>
      <c r="G354">
        <v>2</v>
      </c>
      <c r="H354">
        <v>522</v>
      </c>
      <c r="I354">
        <v>1044</v>
      </c>
    </row>
    <row r="355" spans="1:9" x14ac:dyDescent="0.3">
      <c r="A355">
        <v>1492</v>
      </c>
      <c r="B355" t="s">
        <v>478</v>
      </c>
      <c r="C355" t="s">
        <v>74</v>
      </c>
      <c r="D355" t="s">
        <v>25</v>
      </c>
      <c r="E355" t="s">
        <v>83</v>
      </c>
      <c r="F355" t="s">
        <v>32</v>
      </c>
      <c r="G355">
        <v>5</v>
      </c>
      <c r="H355">
        <v>4247</v>
      </c>
      <c r="I355">
        <v>21235</v>
      </c>
    </row>
    <row r="356" spans="1:9" x14ac:dyDescent="0.3">
      <c r="A356">
        <v>1523</v>
      </c>
      <c r="B356" t="s">
        <v>108</v>
      </c>
      <c r="C356" t="s">
        <v>278</v>
      </c>
      <c r="D356" t="s">
        <v>62</v>
      </c>
      <c r="E356" t="s">
        <v>31</v>
      </c>
      <c r="F356" t="s">
        <v>112</v>
      </c>
      <c r="G356">
        <v>3</v>
      </c>
      <c r="H356">
        <v>2363</v>
      </c>
      <c r="I356">
        <v>7089</v>
      </c>
    </row>
    <row r="357" spans="1:9" x14ac:dyDescent="0.3">
      <c r="A357">
        <v>1178</v>
      </c>
      <c r="B357" t="s">
        <v>425</v>
      </c>
      <c r="C357" t="s">
        <v>150</v>
      </c>
      <c r="D357" t="s">
        <v>52</v>
      </c>
      <c r="E357" t="s">
        <v>36</v>
      </c>
      <c r="F357" t="s">
        <v>95</v>
      </c>
      <c r="G357">
        <v>1</v>
      </c>
      <c r="H357">
        <v>978</v>
      </c>
      <c r="I357">
        <v>978</v>
      </c>
    </row>
    <row r="358" spans="1:9" x14ac:dyDescent="0.3">
      <c r="A358">
        <v>1009</v>
      </c>
      <c r="B358" t="s">
        <v>419</v>
      </c>
      <c r="C358" t="s">
        <v>171</v>
      </c>
      <c r="D358" t="s">
        <v>62</v>
      </c>
      <c r="E358" t="s">
        <v>100</v>
      </c>
      <c r="F358" t="s">
        <v>101</v>
      </c>
      <c r="G358">
        <v>5</v>
      </c>
      <c r="H358">
        <v>2397</v>
      </c>
      <c r="I358">
        <v>11985</v>
      </c>
    </row>
    <row r="359" spans="1:9" x14ac:dyDescent="0.3">
      <c r="A359">
        <v>1350</v>
      </c>
      <c r="B359" t="s">
        <v>479</v>
      </c>
      <c r="C359" t="s">
        <v>157</v>
      </c>
      <c r="D359" t="s">
        <v>30</v>
      </c>
      <c r="E359" t="s">
        <v>45</v>
      </c>
      <c r="F359" t="s">
        <v>46</v>
      </c>
      <c r="G359">
        <v>4</v>
      </c>
      <c r="H359">
        <v>4117</v>
      </c>
      <c r="I359">
        <v>16468</v>
      </c>
    </row>
    <row r="360" spans="1:9" x14ac:dyDescent="0.3">
      <c r="A360">
        <v>1170</v>
      </c>
      <c r="B360" t="s">
        <v>480</v>
      </c>
      <c r="C360" t="s">
        <v>418</v>
      </c>
      <c r="D360" t="s">
        <v>52</v>
      </c>
      <c r="E360" t="s">
        <v>83</v>
      </c>
      <c r="F360" t="s">
        <v>93</v>
      </c>
      <c r="G360">
        <v>5</v>
      </c>
      <c r="H360">
        <v>4154</v>
      </c>
      <c r="I360">
        <v>20770</v>
      </c>
    </row>
    <row r="361" spans="1:9" x14ac:dyDescent="0.3">
      <c r="A361">
        <v>1185</v>
      </c>
      <c r="B361" t="s">
        <v>403</v>
      </c>
      <c r="C361" t="s">
        <v>182</v>
      </c>
      <c r="D361" t="s">
        <v>11</v>
      </c>
      <c r="E361" t="s">
        <v>89</v>
      </c>
      <c r="F361" t="s">
        <v>133</v>
      </c>
      <c r="G361">
        <v>4</v>
      </c>
      <c r="H361">
        <v>4198</v>
      </c>
      <c r="I361">
        <v>16792</v>
      </c>
    </row>
    <row r="362" spans="1:9" x14ac:dyDescent="0.3">
      <c r="A362">
        <v>1047</v>
      </c>
      <c r="B362" t="s">
        <v>295</v>
      </c>
      <c r="C362" t="s">
        <v>481</v>
      </c>
      <c r="D362" t="s">
        <v>35</v>
      </c>
      <c r="E362" t="s">
        <v>12</v>
      </c>
      <c r="F362" t="s">
        <v>27</v>
      </c>
      <c r="G362">
        <v>5</v>
      </c>
      <c r="H362">
        <v>4485</v>
      </c>
      <c r="I362">
        <v>22425</v>
      </c>
    </row>
    <row r="363" spans="1:9" x14ac:dyDescent="0.3">
      <c r="A363">
        <v>1443</v>
      </c>
      <c r="B363" t="s">
        <v>468</v>
      </c>
      <c r="C363" t="s">
        <v>482</v>
      </c>
      <c r="D363" t="s">
        <v>52</v>
      </c>
      <c r="E363" t="s">
        <v>100</v>
      </c>
      <c r="F363" t="s">
        <v>53</v>
      </c>
      <c r="G363">
        <v>2</v>
      </c>
      <c r="H363">
        <v>4773</v>
      </c>
      <c r="I363">
        <v>9546</v>
      </c>
    </row>
    <row r="364" spans="1:9" x14ac:dyDescent="0.3">
      <c r="A364">
        <v>1011</v>
      </c>
      <c r="B364" t="s">
        <v>483</v>
      </c>
      <c r="C364" t="s">
        <v>484</v>
      </c>
      <c r="D364" t="s">
        <v>62</v>
      </c>
      <c r="E364" t="s">
        <v>140</v>
      </c>
      <c r="F364" t="s">
        <v>18</v>
      </c>
      <c r="G364">
        <v>2</v>
      </c>
      <c r="H364">
        <v>813</v>
      </c>
      <c r="I364">
        <v>1626</v>
      </c>
    </row>
    <row r="365" spans="1:9" x14ac:dyDescent="0.3">
      <c r="A365">
        <v>1338</v>
      </c>
      <c r="B365" t="s">
        <v>165</v>
      </c>
      <c r="C365" t="s">
        <v>485</v>
      </c>
      <c r="D365" t="s">
        <v>52</v>
      </c>
      <c r="E365" t="s">
        <v>140</v>
      </c>
      <c r="F365" t="s">
        <v>18</v>
      </c>
      <c r="G365">
        <v>2</v>
      </c>
      <c r="H365">
        <v>845</v>
      </c>
      <c r="I365">
        <v>1690</v>
      </c>
    </row>
    <row r="366" spans="1:9" x14ac:dyDescent="0.3">
      <c r="A366">
        <v>1458</v>
      </c>
      <c r="B366" t="s">
        <v>486</v>
      </c>
      <c r="C366" t="s">
        <v>238</v>
      </c>
      <c r="D366" t="s">
        <v>25</v>
      </c>
      <c r="E366" t="s">
        <v>21</v>
      </c>
      <c r="F366" t="s">
        <v>46</v>
      </c>
      <c r="G366">
        <v>4</v>
      </c>
      <c r="H366">
        <v>345</v>
      </c>
      <c r="I366">
        <v>1380</v>
      </c>
    </row>
    <row r="367" spans="1:9" x14ac:dyDescent="0.3">
      <c r="A367">
        <v>1570</v>
      </c>
      <c r="B367" t="s">
        <v>379</v>
      </c>
      <c r="C367" t="s">
        <v>107</v>
      </c>
      <c r="D367" t="s">
        <v>16</v>
      </c>
      <c r="E367" t="s">
        <v>56</v>
      </c>
      <c r="F367" t="s">
        <v>57</v>
      </c>
      <c r="G367">
        <v>4</v>
      </c>
      <c r="H367">
        <v>2992</v>
      </c>
      <c r="I367">
        <v>11968</v>
      </c>
    </row>
    <row r="368" spans="1:9" x14ac:dyDescent="0.3">
      <c r="A368">
        <v>1228</v>
      </c>
      <c r="B368" t="s">
        <v>86</v>
      </c>
      <c r="C368" t="s">
        <v>249</v>
      </c>
      <c r="D368" t="s">
        <v>25</v>
      </c>
      <c r="E368" t="s">
        <v>45</v>
      </c>
      <c r="G368">
        <v>1</v>
      </c>
      <c r="H368">
        <v>2016</v>
      </c>
      <c r="I368">
        <v>2016</v>
      </c>
    </row>
    <row r="369" spans="1:9" x14ac:dyDescent="0.3">
      <c r="A369">
        <v>1298</v>
      </c>
      <c r="B369" t="s">
        <v>487</v>
      </c>
      <c r="C369" t="s">
        <v>488</v>
      </c>
      <c r="D369" t="s">
        <v>11</v>
      </c>
      <c r="E369" t="s">
        <v>89</v>
      </c>
      <c r="F369" t="s">
        <v>27</v>
      </c>
      <c r="G369">
        <v>4</v>
      </c>
      <c r="H369">
        <v>1350</v>
      </c>
      <c r="I369">
        <v>5400</v>
      </c>
    </row>
    <row r="370" spans="1:9" x14ac:dyDescent="0.3">
      <c r="A370">
        <v>1419</v>
      </c>
      <c r="B370" t="s">
        <v>489</v>
      </c>
      <c r="C370" t="s">
        <v>453</v>
      </c>
      <c r="D370" t="s">
        <v>52</v>
      </c>
      <c r="E370" t="s">
        <v>17</v>
      </c>
      <c r="F370" t="s">
        <v>114</v>
      </c>
      <c r="G370">
        <v>2</v>
      </c>
      <c r="H370">
        <v>3944</v>
      </c>
      <c r="I370">
        <v>7888</v>
      </c>
    </row>
    <row r="371" spans="1:9" x14ac:dyDescent="0.3">
      <c r="A371">
        <v>1346</v>
      </c>
      <c r="B371" t="s">
        <v>158</v>
      </c>
      <c r="C371" t="s">
        <v>224</v>
      </c>
      <c r="D371" t="s">
        <v>62</v>
      </c>
      <c r="E371" t="s">
        <v>136</v>
      </c>
      <c r="F371" t="s">
        <v>124</v>
      </c>
      <c r="G371">
        <v>4</v>
      </c>
      <c r="H371">
        <v>4330</v>
      </c>
      <c r="I371">
        <v>17320</v>
      </c>
    </row>
    <row r="372" spans="1:9" x14ac:dyDescent="0.3">
      <c r="A372">
        <v>1543</v>
      </c>
      <c r="B372" t="s">
        <v>303</v>
      </c>
      <c r="C372" t="s">
        <v>378</v>
      </c>
      <c r="D372" t="s">
        <v>11</v>
      </c>
      <c r="E372" t="s">
        <v>45</v>
      </c>
      <c r="F372" t="s">
        <v>67</v>
      </c>
      <c r="G372">
        <v>5</v>
      </c>
      <c r="H372">
        <v>1622</v>
      </c>
      <c r="I372">
        <v>8110</v>
      </c>
    </row>
    <row r="373" spans="1:9" x14ac:dyDescent="0.3">
      <c r="A373">
        <v>1396</v>
      </c>
      <c r="B373" t="s">
        <v>299</v>
      </c>
      <c r="C373" t="s">
        <v>256</v>
      </c>
      <c r="D373" t="s">
        <v>52</v>
      </c>
      <c r="E373" t="s">
        <v>26</v>
      </c>
      <c r="F373" t="s">
        <v>133</v>
      </c>
      <c r="G373">
        <v>5</v>
      </c>
      <c r="H373">
        <v>2233</v>
      </c>
      <c r="I373">
        <v>11165</v>
      </c>
    </row>
    <row r="374" spans="1:9" x14ac:dyDescent="0.3">
      <c r="A374">
        <v>1301</v>
      </c>
      <c r="B374" t="s">
        <v>439</v>
      </c>
      <c r="C374" t="s">
        <v>251</v>
      </c>
      <c r="D374" t="s">
        <v>30</v>
      </c>
      <c r="E374" t="s">
        <v>140</v>
      </c>
      <c r="F374" t="s">
        <v>114</v>
      </c>
      <c r="G374">
        <v>5</v>
      </c>
      <c r="H374">
        <v>2771</v>
      </c>
      <c r="I374">
        <v>13855</v>
      </c>
    </row>
    <row r="375" spans="1:9" x14ac:dyDescent="0.3">
      <c r="A375">
        <v>1222</v>
      </c>
      <c r="B375" t="s">
        <v>462</v>
      </c>
      <c r="C375" t="s">
        <v>105</v>
      </c>
      <c r="D375" t="s">
        <v>11</v>
      </c>
      <c r="E375" t="s">
        <v>12</v>
      </c>
      <c r="F375" t="s">
        <v>95</v>
      </c>
      <c r="G375">
        <v>5</v>
      </c>
      <c r="H375">
        <v>4644</v>
      </c>
      <c r="I375">
        <v>23220</v>
      </c>
    </row>
    <row r="376" spans="1:9" x14ac:dyDescent="0.3">
      <c r="A376">
        <v>1118</v>
      </c>
      <c r="B376" t="s">
        <v>490</v>
      </c>
      <c r="C376" t="s">
        <v>491</v>
      </c>
      <c r="D376" t="s">
        <v>30</v>
      </c>
      <c r="E376" t="s">
        <v>45</v>
      </c>
      <c r="F376" t="s">
        <v>67</v>
      </c>
      <c r="G376">
        <v>4</v>
      </c>
      <c r="H376">
        <v>304</v>
      </c>
      <c r="I376">
        <v>1216</v>
      </c>
    </row>
    <row r="377" spans="1:9" x14ac:dyDescent="0.3">
      <c r="A377">
        <v>1148</v>
      </c>
      <c r="B377" t="s">
        <v>492</v>
      </c>
      <c r="C377" t="s">
        <v>356</v>
      </c>
      <c r="D377" t="s">
        <v>11</v>
      </c>
      <c r="E377" t="s">
        <v>56</v>
      </c>
      <c r="F377" t="s">
        <v>93</v>
      </c>
      <c r="G377">
        <v>3</v>
      </c>
      <c r="H377">
        <v>2252</v>
      </c>
      <c r="I377">
        <v>6756</v>
      </c>
    </row>
    <row r="378" spans="1:9" x14ac:dyDescent="0.3">
      <c r="A378">
        <v>1302</v>
      </c>
      <c r="B378" t="s">
        <v>374</v>
      </c>
      <c r="C378" t="s">
        <v>493</v>
      </c>
      <c r="D378" t="s">
        <v>25</v>
      </c>
      <c r="E378" t="s">
        <v>92</v>
      </c>
      <c r="F378" t="s">
        <v>112</v>
      </c>
      <c r="G378">
        <v>5</v>
      </c>
      <c r="H378">
        <v>4802</v>
      </c>
      <c r="I378">
        <v>24010</v>
      </c>
    </row>
    <row r="379" spans="1:9" x14ac:dyDescent="0.3">
      <c r="A379">
        <v>1574</v>
      </c>
      <c r="B379" t="s">
        <v>149</v>
      </c>
      <c r="C379" t="s">
        <v>74</v>
      </c>
      <c r="D379" t="s">
        <v>52</v>
      </c>
      <c r="E379" t="s">
        <v>26</v>
      </c>
      <c r="F379" t="s">
        <v>27</v>
      </c>
      <c r="G379">
        <v>4</v>
      </c>
      <c r="H379">
        <v>2761</v>
      </c>
      <c r="I379">
        <v>11044</v>
      </c>
    </row>
    <row r="380" spans="1:9" x14ac:dyDescent="0.3">
      <c r="A380">
        <v>1257</v>
      </c>
      <c r="B380" t="s">
        <v>494</v>
      </c>
      <c r="C380" t="s">
        <v>495</v>
      </c>
      <c r="D380" t="s">
        <v>16</v>
      </c>
      <c r="E380" t="s">
        <v>21</v>
      </c>
      <c r="F380" t="s">
        <v>128</v>
      </c>
      <c r="G380">
        <v>2</v>
      </c>
      <c r="H380">
        <v>2609</v>
      </c>
      <c r="I380">
        <v>5218</v>
      </c>
    </row>
    <row r="381" spans="1:9" x14ac:dyDescent="0.3">
      <c r="A381">
        <v>1076</v>
      </c>
      <c r="B381" t="s">
        <v>90</v>
      </c>
      <c r="C381" t="s">
        <v>386</v>
      </c>
      <c r="D381" t="s">
        <v>52</v>
      </c>
      <c r="E381" t="s">
        <v>17</v>
      </c>
      <c r="F381" t="s">
        <v>18</v>
      </c>
      <c r="G381">
        <v>1</v>
      </c>
      <c r="H381">
        <v>3710</v>
      </c>
      <c r="I381">
        <v>3710</v>
      </c>
    </row>
    <row r="382" spans="1:9" x14ac:dyDescent="0.3">
      <c r="A382">
        <v>1164</v>
      </c>
      <c r="B382" t="s">
        <v>47</v>
      </c>
      <c r="C382" t="s">
        <v>263</v>
      </c>
      <c r="D382" t="s">
        <v>62</v>
      </c>
      <c r="E382" t="s">
        <v>36</v>
      </c>
      <c r="F382" t="s">
        <v>27</v>
      </c>
      <c r="G382">
        <v>2</v>
      </c>
      <c r="H382">
        <v>527</v>
      </c>
      <c r="I382">
        <v>1054</v>
      </c>
    </row>
    <row r="383" spans="1:9" x14ac:dyDescent="0.3">
      <c r="A383">
        <v>1052</v>
      </c>
      <c r="B383" t="s">
        <v>198</v>
      </c>
      <c r="C383" t="s">
        <v>350</v>
      </c>
      <c r="D383" t="s">
        <v>25</v>
      </c>
      <c r="E383" t="s">
        <v>36</v>
      </c>
      <c r="F383" t="s">
        <v>75</v>
      </c>
      <c r="G383">
        <v>3</v>
      </c>
      <c r="H383">
        <v>4504</v>
      </c>
      <c r="I383">
        <v>13512</v>
      </c>
    </row>
    <row r="384" spans="1:9" x14ac:dyDescent="0.3">
      <c r="A384">
        <v>1069</v>
      </c>
      <c r="B384" t="s">
        <v>437</v>
      </c>
      <c r="C384" t="s">
        <v>496</v>
      </c>
      <c r="D384" t="s">
        <v>25</v>
      </c>
      <c r="E384" t="s">
        <v>45</v>
      </c>
      <c r="F384" t="s">
        <v>67</v>
      </c>
      <c r="G384">
        <v>3</v>
      </c>
      <c r="H384">
        <v>2012</v>
      </c>
      <c r="I384">
        <v>6036</v>
      </c>
    </row>
    <row r="385" spans="1:9" x14ac:dyDescent="0.3">
      <c r="A385">
        <v>1339</v>
      </c>
      <c r="B385" t="s">
        <v>497</v>
      </c>
      <c r="C385" t="s">
        <v>282</v>
      </c>
      <c r="D385" t="s">
        <v>42</v>
      </c>
      <c r="E385" t="s">
        <v>140</v>
      </c>
      <c r="F385" t="s">
        <v>18</v>
      </c>
      <c r="G385">
        <v>1</v>
      </c>
      <c r="H385">
        <v>3034</v>
      </c>
      <c r="I385">
        <v>3034</v>
      </c>
    </row>
    <row r="386" spans="1:9" x14ac:dyDescent="0.3">
      <c r="A386">
        <v>1249</v>
      </c>
      <c r="B386" t="s">
        <v>425</v>
      </c>
      <c r="C386" t="s">
        <v>351</v>
      </c>
      <c r="D386" t="s">
        <v>52</v>
      </c>
      <c r="E386" t="s">
        <v>89</v>
      </c>
      <c r="F386" t="s">
        <v>75</v>
      </c>
      <c r="G386">
        <v>3</v>
      </c>
      <c r="H386">
        <v>4625</v>
      </c>
      <c r="I386">
        <v>13875</v>
      </c>
    </row>
    <row r="387" spans="1:9" x14ac:dyDescent="0.3">
      <c r="A387">
        <v>1529</v>
      </c>
      <c r="B387" t="s">
        <v>362</v>
      </c>
      <c r="C387" t="s">
        <v>498</v>
      </c>
      <c r="D387" t="s">
        <v>30</v>
      </c>
      <c r="E387" t="s">
        <v>136</v>
      </c>
      <c r="F387" t="s">
        <v>46</v>
      </c>
      <c r="G387">
        <v>2</v>
      </c>
      <c r="H387">
        <v>2824</v>
      </c>
      <c r="I387">
        <v>5648</v>
      </c>
    </row>
    <row r="388" spans="1:9" x14ac:dyDescent="0.3">
      <c r="A388">
        <v>1171</v>
      </c>
      <c r="B388" t="s">
        <v>499</v>
      </c>
      <c r="C388" t="s">
        <v>286</v>
      </c>
      <c r="D388" t="s">
        <v>16</v>
      </c>
      <c r="E388" t="s">
        <v>31</v>
      </c>
      <c r="F388" t="s">
        <v>32</v>
      </c>
      <c r="G388">
        <v>4</v>
      </c>
      <c r="H388">
        <v>1051</v>
      </c>
      <c r="I388">
        <v>4204</v>
      </c>
    </row>
    <row r="389" spans="1:9" x14ac:dyDescent="0.3">
      <c r="A389">
        <v>1445</v>
      </c>
      <c r="B389" t="s">
        <v>161</v>
      </c>
      <c r="C389" t="s">
        <v>500</v>
      </c>
      <c r="D389" t="s">
        <v>62</v>
      </c>
      <c r="E389" t="s">
        <v>83</v>
      </c>
      <c r="F389" t="s">
        <v>93</v>
      </c>
      <c r="G389">
        <v>3</v>
      </c>
      <c r="H389">
        <v>510</v>
      </c>
      <c r="I389">
        <v>1530</v>
      </c>
    </row>
    <row r="390" spans="1:9" x14ac:dyDescent="0.3">
      <c r="A390">
        <v>1257</v>
      </c>
      <c r="B390" t="s">
        <v>229</v>
      </c>
      <c r="C390" t="s">
        <v>397</v>
      </c>
      <c r="E390" t="s">
        <v>140</v>
      </c>
      <c r="F390" t="s">
        <v>101</v>
      </c>
      <c r="G390">
        <v>4</v>
      </c>
      <c r="H390">
        <v>3513</v>
      </c>
      <c r="I390">
        <v>14052</v>
      </c>
    </row>
    <row r="391" spans="1:9" x14ac:dyDescent="0.3">
      <c r="A391">
        <v>1121</v>
      </c>
      <c r="B391" t="s">
        <v>376</v>
      </c>
      <c r="C391" t="s">
        <v>252</v>
      </c>
      <c r="D391" t="s">
        <v>25</v>
      </c>
      <c r="E391" t="s">
        <v>83</v>
      </c>
      <c r="F391" t="s">
        <v>57</v>
      </c>
      <c r="G391">
        <v>3</v>
      </c>
      <c r="H391">
        <v>4319</v>
      </c>
      <c r="I391">
        <v>12957</v>
      </c>
    </row>
    <row r="392" spans="1:9" x14ac:dyDescent="0.3">
      <c r="A392">
        <v>1308</v>
      </c>
      <c r="B392" t="s">
        <v>129</v>
      </c>
      <c r="C392" t="s">
        <v>501</v>
      </c>
      <c r="D392" t="s">
        <v>52</v>
      </c>
      <c r="E392" t="s">
        <v>26</v>
      </c>
      <c r="F392" t="s">
        <v>75</v>
      </c>
      <c r="G392">
        <v>1</v>
      </c>
      <c r="H392">
        <v>4082</v>
      </c>
      <c r="I392">
        <v>4082</v>
      </c>
    </row>
    <row r="393" spans="1:9" x14ac:dyDescent="0.3">
      <c r="A393">
        <v>1400</v>
      </c>
      <c r="B393" t="s">
        <v>380</v>
      </c>
      <c r="C393" t="s">
        <v>282</v>
      </c>
      <c r="D393" t="s">
        <v>42</v>
      </c>
      <c r="E393" t="s">
        <v>100</v>
      </c>
      <c r="F393" t="s">
        <v>101</v>
      </c>
      <c r="G393">
        <v>5</v>
      </c>
      <c r="H393">
        <v>4747</v>
      </c>
      <c r="I393">
        <v>23735</v>
      </c>
    </row>
    <row r="394" spans="1:9" x14ac:dyDescent="0.3">
      <c r="A394">
        <v>1586</v>
      </c>
      <c r="B394" t="s">
        <v>341</v>
      </c>
      <c r="C394" t="s">
        <v>404</v>
      </c>
      <c r="D394" t="s">
        <v>35</v>
      </c>
      <c r="E394" t="s">
        <v>31</v>
      </c>
      <c r="F394" t="s">
        <v>112</v>
      </c>
      <c r="G394">
        <v>2</v>
      </c>
      <c r="H394">
        <v>3580</v>
      </c>
      <c r="I394">
        <v>7160</v>
      </c>
    </row>
    <row r="395" spans="1:9" x14ac:dyDescent="0.3">
      <c r="A395">
        <v>1145</v>
      </c>
      <c r="B395" t="s">
        <v>502</v>
      </c>
      <c r="C395" t="s">
        <v>390</v>
      </c>
      <c r="D395" t="s">
        <v>16</v>
      </c>
      <c r="E395" t="s">
        <v>100</v>
      </c>
      <c r="F395" t="s">
        <v>18</v>
      </c>
      <c r="G395">
        <v>1</v>
      </c>
      <c r="H395">
        <v>1685</v>
      </c>
      <c r="I395">
        <v>1685</v>
      </c>
    </row>
    <row r="396" spans="1:9" x14ac:dyDescent="0.3">
      <c r="A396">
        <v>1055</v>
      </c>
      <c r="B396" t="s">
        <v>379</v>
      </c>
      <c r="C396" t="s">
        <v>301</v>
      </c>
      <c r="D396" t="s">
        <v>30</v>
      </c>
      <c r="E396" t="s">
        <v>83</v>
      </c>
      <c r="F396" t="s">
        <v>112</v>
      </c>
      <c r="G396">
        <v>1</v>
      </c>
      <c r="H396">
        <v>1817</v>
      </c>
      <c r="I396">
        <v>1817</v>
      </c>
    </row>
    <row r="397" spans="1:9" x14ac:dyDescent="0.3">
      <c r="A397">
        <v>1338</v>
      </c>
      <c r="B397" t="s">
        <v>503</v>
      </c>
      <c r="C397" t="s">
        <v>311</v>
      </c>
      <c r="D397" t="s">
        <v>25</v>
      </c>
      <c r="E397" t="s">
        <v>100</v>
      </c>
      <c r="F397" t="s">
        <v>72</v>
      </c>
      <c r="G397">
        <v>2</v>
      </c>
      <c r="H397">
        <v>2803</v>
      </c>
      <c r="I397">
        <v>5606</v>
      </c>
    </row>
    <row r="398" spans="1:9" x14ac:dyDescent="0.3">
      <c r="A398">
        <v>1313</v>
      </c>
      <c r="B398" t="s">
        <v>315</v>
      </c>
      <c r="C398" t="s">
        <v>504</v>
      </c>
      <c r="D398" t="s">
        <v>35</v>
      </c>
      <c r="E398" t="s">
        <v>100</v>
      </c>
      <c r="G398">
        <v>4</v>
      </c>
      <c r="H398">
        <v>1581</v>
      </c>
      <c r="I398">
        <v>6324</v>
      </c>
    </row>
    <row r="399" spans="1:9" x14ac:dyDescent="0.3">
      <c r="A399">
        <v>1226</v>
      </c>
      <c r="B399" t="s">
        <v>435</v>
      </c>
      <c r="C399" t="s">
        <v>10</v>
      </c>
      <c r="D399" t="s">
        <v>11</v>
      </c>
      <c r="E399" t="s">
        <v>21</v>
      </c>
      <c r="F399" t="s">
        <v>22</v>
      </c>
      <c r="G399">
        <v>3</v>
      </c>
      <c r="H399">
        <v>4131</v>
      </c>
      <c r="I399">
        <v>12393</v>
      </c>
    </row>
    <row r="400" spans="1:9" x14ac:dyDescent="0.3">
      <c r="A400">
        <v>1312</v>
      </c>
      <c r="B400" t="s">
        <v>505</v>
      </c>
      <c r="C400" t="s">
        <v>378</v>
      </c>
      <c r="D400" t="s">
        <v>30</v>
      </c>
      <c r="E400" t="s">
        <v>83</v>
      </c>
      <c r="F400" t="s">
        <v>93</v>
      </c>
      <c r="G400">
        <v>2</v>
      </c>
      <c r="H400">
        <v>4612</v>
      </c>
      <c r="I400">
        <v>9224</v>
      </c>
    </row>
    <row r="401" spans="1:9" x14ac:dyDescent="0.3">
      <c r="A401">
        <v>1078</v>
      </c>
      <c r="B401" t="s">
        <v>108</v>
      </c>
      <c r="C401" t="s">
        <v>363</v>
      </c>
      <c r="D401" t="s">
        <v>52</v>
      </c>
      <c r="E401" t="s">
        <v>83</v>
      </c>
      <c r="F401" t="s">
        <v>57</v>
      </c>
      <c r="G401">
        <v>5</v>
      </c>
      <c r="H401">
        <v>1942</v>
      </c>
      <c r="I401">
        <v>9710</v>
      </c>
    </row>
    <row r="402" spans="1:9" x14ac:dyDescent="0.3">
      <c r="A402">
        <v>1556</v>
      </c>
      <c r="B402" t="s">
        <v>506</v>
      </c>
      <c r="C402" t="s">
        <v>430</v>
      </c>
      <c r="D402" t="s">
        <v>16</v>
      </c>
      <c r="E402" t="s">
        <v>140</v>
      </c>
      <c r="F402" t="s">
        <v>101</v>
      </c>
      <c r="G402">
        <v>5</v>
      </c>
      <c r="H402">
        <v>2583</v>
      </c>
      <c r="I402">
        <v>12915</v>
      </c>
    </row>
    <row r="403" spans="1:9" x14ac:dyDescent="0.3">
      <c r="A403">
        <v>1092</v>
      </c>
      <c r="B403" t="s">
        <v>234</v>
      </c>
      <c r="C403" t="s">
        <v>230</v>
      </c>
      <c r="D403" t="s">
        <v>11</v>
      </c>
      <c r="E403" t="s">
        <v>31</v>
      </c>
      <c r="F403" t="s">
        <v>93</v>
      </c>
      <c r="G403">
        <v>4</v>
      </c>
      <c r="H403">
        <v>1504</v>
      </c>
      <c r="I403">
        <v>6016</v>
      </c>
    </row>
    <row r="404" spans="1:9" x14ac:dyDescent="0.3">
      <c r="A404">
        <v>1149</v>
      </c>
      <c r="B404" t="s">
        <v>221</v>
      </c>
      <c r="C404" t="s">
        <v>507</v>
      </c>
      <c r="D404" t="s">
        <v>62</v>
      </c>
      <c r="E404" t="s">
        <v>12</v>
      </c>
      <c r="F404" t="s">
        <v>27</v>
      </c>
      <c r="G404">
        <v>2</v>
      </c>
      <c r="H404">
        <v>714</v>
      </c>
      <c r="I404">
        <v>1428</v>
      </c>
    </row>
    <row r="405" spans="1:9" x14ac:dyDescent="0.3">
      <c r="A405">
        <v>1211</v>
      </c>
      <c r="B405" t="s">
        <v>508</v>
      </c>
      <c r="C405" t="s">
        <v>274</v>
      </c>
      <c r="D405" t="s">
        <v>62</v>
      </c>
      <c r="E405" t="s">
        <v>26</v>
      </c>
      <c r="F405" t="s">
        <v>75</v>
      </c>
      <c r="G405">
        <v>1</v>
      </c>
      <c r="H405">
        <v>526</v>
      </c>
      <c r="I405">
        <v>526</v>
      </c>
    </row>
    <row r="406" spans="1:9" x14ac:dyDescent="0.3">
      <c r="A406">
        <v>1533</v>
      </c>
      <c r="B406" t="s">
        <v>509</v>
      </c>
      <c r="C406" t="s">
        <v>293</v>
      </c>
      <c r="D406" t="s">
        <v>52</v>
      </c>
      <c r="E406" t="s">
        <v>12</v>
      </c>
      <c r="F406" t="s">
        <v>95</v>
      </c>
      <c r="G406">
        <v>4</v>
      </c>
      <c r="H406">
        <v>3192</v>
      </c>
      <c r="I406">
        <v>12768</v>
      </c>
    </row>
    <row r="407" spans="1:9" x14ac:dyDescent="0.3">
      <c r="A407">
        <v>1079</v>
      </c>
      <c r="B407" t="s">
        <v>510</v>
      </c>
      <c r="C407" t="s">
        <v>511</v>
      </c>
      <c r="D407" t="s">
        <v>35</v>
      </c>
      <c r="E407" t="s">
        <v>45</v>
      </c>
      <c r="F407" t="s">
        <v>128</v>
      </c>
      <c r="G407">
        <v>3</v>
      </c>
      <c r="H407">
        <v>4188</v>
      </c>
      <c r="I407">
        <v>12564</v>
      </c>
    </row>
    <row r="408" spans="1:9" x14ac:dyDescent="0.3">
      <c r="A408">
        <v>1006</v>
      </c>
      <c r="B408" t="s">
        <v>58</v>
      </c>
      <c r="C408" t="s">
        <v>99</v>
      </c>
      <c r="D408" t="s">
        <v>16</v>
      </c>
      <c r="E408" t="s">
        <v>39</v>
      </c>
      <c r="F408" t="s">
        <v>53</v>
      </c>
      <c r="G408">
        <v>1</v>
      </c>
      <c r="H408">
        <v>4415</v>
      </c>
      <c r="I408">
        <v>4415</v>
      </c>
    </row>
    <row r="409" spans="1:9" x14ac:dyDescent="0.3">
      <c r="A409">
        <v>1191</v>
      </c>
      <c r="B409" t="s">
        <v>253</v>
      </c>
      <c r="C409" t="s">
        <v>512</v>
      </c>
      <c r="D409" t="s">
        <v>35</v>
      </c>
      <c r="E409" t="s">
        <v>92</v>
      </c>
      <c r="F409" t="s">
        <v>93</v>
      </c>
      <c r="G409">
        <v>1</v>
      </c>
      <c r="H409">
        <v>4144</v>
      </c>
      <c r="I409">
        <v>4144</v>
      </c>
    </row>
    <row r="410" spans="1:9" x14ac:dyDescent="0.3">
      <c r="A410">
        <v>1165</v>
      </c>
      <c r="B410" t="s">
        <v>161</v>
      </c>
      <c r="C410" t="s">
        <v>34</v>
      </c>
      <c r="D410" t="s">
        <v>42</v>
      </c>
      <c r="E410" t="s">
        <v>49</v>
      </c>
      <c r="F410" t="s">
        <v>124</v>
      </c>
      <c r="G410">
        <v>2</v>
      </c>
      <c r="H410">
        <v>4898</v>
      </c>
      <c r="I410">
        <v>9796</v>
      </c>
    </row>
    <row r="411" spans="1:9" x14ac:dyDescent="0.3">
      <c r="A411">
        <v>1524</v>
      </c>
      <c r="B411" t="s">
        <v>425</v>
      </c>
      <c r="C411" t="s">
        <v>363</v>
      </c>
      <c r="D411" t="s">
        <v>30</v>
      </c>
      <c r="E411" t="s">
        <v>39</v>
      </c>
      <c r="F411" t="s">
        <v>72</v>
      </c>
      <c r="G411">
        <v>2</v>
      </c>
      <c r="H411">
        <v>4432</v>
      </c>
      <c r="I411">
        <v>8864</v>
      </c>
    </row>
    <row r="412" spans="1:9" x14ac:dyDescent="0.3">
      <c r="A412">
        <v>1577</v>
      </c>
      <c r="B412" t="s">
        <v>455</v>
      </c>
      <c r="C412" t="s">
        <v>281</v>
      </c>
      <c r="D412" t="s">
        <v>62</v>
      </c>
      <c r="E412" t="s">
        <v>12</v>
      </c>
      <c r="F412" t="s">
        <v>27</v>
      </c>
      <c r="G412">
        <v>5</v>
      </c>
      <c r="H412">
        <v>4061</v>
      </c>
      <c r="I412">
        <v>20305</v>
      </c>
    </row>
    <row r="413" spans="1:9" x14ac:dyDescent="0.3">
      <c r="A413">
        <v>1420</v>
      </c>
      <c r="B413" t="s">
        <v>513</v>
      </c>
      <c r="C413" t="s">
        <v>514</v>
      </c>
      <c r="D413" t="s">
        <v>11</v>
      </c>
      <c r="E413" t="s">
        <v>100</v>
      </c>
      <c r="F413" t="s">
        <v>18</v>
      </c>
      <c r="G413">
        <v>3</v>
      </c>
      <c r="H413">
        <v>3914</v>
      </c>
      <c r="I413">
        <v>11742</v>
      </c>
    </row>
    <row r="414" spans="1:9" x14ac:dyDescent="0.3">
      <c r="A414">
        <v>1387</v>
      </c>
      <c r="B414" t="s">
        <v>392</v>
      </c>
      <c r="C414" t="s">
        <v>418</v>
      </c>
      <c r="D414" t="s">
        <v>52</v>
      </c>
      <c r="E414" t="s">
        <v>31</v>
      </c>
      <c r="F414" t="s">
        <v>32</v>
      </c>
      <c r="G414">
        <v>2</v>
      </c>
      <c r="H414">
        <v>988</v>
      </c>
      <c r="I414">
        <v>1976</v>
      </c>
    </row>
    <row r="415" spans="1:9" x14ac:dyDescent="0.3">
      <c r="A415">
        <v>1039</v>
      </c>
      <c r="B415" t="s">
        <v>340</v>
      </c>
      <c r="C415" t="s">
        <v>288</v>
      </c>
      <c r="D415" t="s">
        <v>11</v>
      </c>
      <c r="E415" t="s">
        <v>92</v>
      </c>
      <c r="F415" t="s">
        <v>32</v>
      </c>
      <c r="G415">
        <v>5</v>
      </c>
      <c r="H415">
        <v>4617</v>
      </c>
      <c r="I415">
        <v>23085</v>
      </c>
    </row>
    <row r="416" spans="1:9" x14ac:dyDescent="0.3">
      <c r="A416">
        <v>1441</v>
      </c>
      <c r="B416" t="s">
        <v>181</v>
      </c>
      <c r="C416" t="s">
        <v>333</v>
      </c>
      <c r="D416" t="s">
        <v>16</v>
      </c>
      <c r="E416" t="s">
        <v>26</v>
      </c>
      <c r="F416" t="s">
        <v>27</v>
      </c>
      <c r="G416">
        <v>4</v>
      </c>
      <c r="H416">
        <v>3323</v>
      </c>
      <c r="I416">
        <v>13292</v>
      </c>
    </row>
    <row r="417" spans="1:9" x14ac:dyDescent="0.3">
      <c r="A417">
        <v>1589</v>
      </c>
      <c r="B417" t="s">
        <v>515</v>
      </c>
      <c r="C417" t="s">
        <v>516</v>
      </c>
      <c r="D417" t="s">
        <v>16</v>
      </c>
      <c r="E417" t="s">
        <v>140</v>
      </c>
      <c r="F417" t="s">
        <v>101</v>
      </c>
      <c r="G417">
        <v>1</v>
      </c>
      <c r="H417">
        <v>2520</v>
      </c>
      <c r="I417">
        <v>2520</v>
      </c>
    </row>
    <row r="418" spans="1:9" x14ac:dyDescent="0.3">
      <c r="A418">
        <v>1263</v>
      </c>
      <c r="B418" t="s">
        <v>517</v>
      </c>
      <c r="C418" t="s">
        <v>252</v>
      </c>
      <c r="D418" t="s">
        <v>42</v>
      </c>
      <c r="E418" t="s">
        <v>83</v>
      </c>
      <c r="F418" t="s">
        <v>57</v>
      </c>
      <c r="G418">
        <v>4</v>
      </c>
      <c r="H418">
        <v>1882</v>
      </c>
      <c r="I418">
        <v>7528</v>
      </c>
    </row>
    <row r="419" spans="1:9" x14ac:dyDescent="0.3">
      <c r="A419">
        <v>1370</v>
      </c>
      <c r="B419" t="s">
        <v>489</v>
      </c>
      <c r="C419" t="s">
        <v>438</v>
      </c>
      <c r="D419" t="s">
        <v>30</v>
      </c>
      <c r="E419" t="s">
        <v>21</v>
      </c>
      <c r="F419" t="s">
        <v>67</v>
      </c>
      <c r="G419">
        <v>5</v>
      </c>
      <c r="H419">
        <v>3669</v>
      </c>
      <c r="I419">
        <v>18345</v>
      </c>
    </row>
    <row r="420" spans="1:9" x14ac:dyDescent="0.3">
      <c r="A420">
        <v>1406</v>
      </c>
      <c r="B420" t="s">
        <v>374</v>
      </c>
      <c r="C420" t="s">
        <v>196</v>
      </c>
      <c r="D420" t="s">
        <v>62</v>
      </c>
      <c r="E420" t="s">
        <v>21</v>
      </c>
      <c r="F420" t="s">
        <v>128</v>
      </c>
      <c r="G420">
        <v>3</v>
      </c>
      <c r="H420">
        <v>2712</v>
      </c>
      <c r="I420">
        <v>8136</v>
      </c>
    </row>
    <row r="421" spans="1:9" x14ac:dyDescent="0.3">
      <c r="A421">
        <v>1407</v>
      </c>
      <c r="B421" t="s">
        <v>419</v>
      </c>
      <c r="C421" t="s">
        <v>150</v>
      </c>
      <c r="D421" t="s">
        <v>11</v>
      </c>
      <c r="E421" t="s">
        <v>92</v>
      </c>
      <c r="F421" t="s">
        <v>93</v>
      </c>
      <c r="G421">
        <v>1</v>
      </c>
      <c r="H421">
        <v>1956</v>
      </c>
      <c r="I421">
        <v>1956</v>
      </c>
    </row>
    <row r="422" spans="1:9" x14ac:dyDescent="0.3">
      <c r="A422">
        <v>1563</v>
      </c>
      <c r="B422" t="s">
        <v>405</v>
      </c>
      <c r="C422" t="s">
        <v>20</v>
      </c>
      <c r="D422" t="s">
        <v>42</v>
      </c>
      <c r="E422" t="s">
        <v>92</v>
      </c>
      <c r="F422" t="s">
        <v>93</v>
      </c>
      <c r="G422">
        <v>1</v>
      </c>
      <c r="H422">
        <v>1390</v>
      </c>
      <c r="I422">
        <v>1390</v>
      </c>
    </row>
    <row r="423" spans="1:9" x14ac:dyDescent="0.3">
      <c r="A423">
        <v>1090</v>
      </c>
      <c r="B423" t="s">
        <v>295</v>
      </c>
      <c r="C423" t="s">
        <v>518</v>
      </c>
      <c r="D423" t="s">
        <v>42</v>
      </c>
      <c r="E423" t="s">
        <v>17</v>
      </c>
      <c r="F423" t="s">
        <v>101</v>
      </c>
      <c r="G423">
        <v>4</v>
      </c>
      <c r="H423">
        <v>3482</v>
      </c>
      <c r="I423">
        <v>13928</v>
      </c>
    </row>
    <row r="424" spans="1:9" x14ac:dyDescent="0.3">
      <c r="A424">
        <v>1058</v>
      </c>
      <c r="B424" t="s">
        <v>441</v>
      </c>
      <c r="C424" t="s">
        <v>309</v>
      </c>
      <c r="D424" t="s">
        <v>16</v>
      </c>
      <c r="E424" t="s">
        <v>136</v>
      </c>
      <c r="F424" t="s">
        <v>46</v>
      </c>
      <c r="G424">
        <v>5</v>
      </c>
      <c r="H424">
        <v>2542</v>
      </c>
      <c r="I424">
        <v>12710</v>
      </c>
    </row>
    <row r="425" spans="1:9" x14ac:dyDescent="0.3">
      <c r="A425">
        <v>1522</v>
      </c>
      <c r="B425" t="s">
        <v>510</v>
      </c>
      <c r="C425" t="s">
        <v>20</v>
      </c>
      <c r="D425" t="s">
        <v>42</v>
      </c>
      <c r="E425" t="s">
        <v>39</v>
      </c>
      <c r="F425" t="s">
        <v>18</v>
      </c>
      <c r="G425">
        <v>3</v>
      </c>
      <c r="H425">
        <v>2159</v>
      </c>
      <c r="I425">
        <v>6477</v>
      </c>
    </row>
    <row r="426" spans="1:9" x14ac:dyDescent="0.3">
      <c r="A426">
        <v>1088</v>
      </c>
      <c r="B426" t="s">
        <v>237</v>
      </c>
      <c r="C426" t="s">
        <v>241</v>
      </c>
      <c r="D426" t="s">
        <v>52</v>
      </c>
      <c r="E426" t="s">
        <v>45</v>
      </c>
      <c r="F426" t="s">
        <v>22</v>
      </c>
      <c r="G426">
        <v>5</v>
      </c>
      <c r="H426">
        <v>1840</v>
      </c>
      <c r="I426">
        <v>9200</v>
      </c>
    </row>
    <row r="427" spans="1:9" x14ac:dyDescent="0.3">
      <c r="A427">
        <v>1070</v>
      </c>
      <c r="B427" t="s">
        <v>290</v>
      </c>
      <c r="C427" t="s">
        <v>519</v>
      </c>
      <c r="D427" t="s">
        <v>35</v>
      </c>
      <c r="E427" t="s">
        <v>36</v>
      </c>
      <c r="F427" t="s">
        <v>133</v>
      </c>
      <c r="G427">
        <v>3</v>
      </c>
      <c r="H427">
        <v>2053</v>
      </c>
      <c r="I427">
        <v>6159</v>
      </c>
    </row>
    <row r="428" spans="1:9" x14ac:dyDescent="0.3">
      <c r="A428">
        <v>1413</v>
      </c>
      <c r="B428" t="s">
        <v>520</v>
      </c>
      <c r="C428" t="s">
        <v>252</v>
      </c>
      <c r="D428" t="s">
        <v>25</v>
      </c>
      <c r="E428" t="s">
        <v>26</v>
      </c>
      <c r="F428" t="s">
        <v>13</v>
      </c>
      <c r="G428">
        <v>5</v>
      </c>
      <c r="H428">
        <v>792</v>
      </c>
      <c r="I428">
        <v>3960</v>
      </c>
    </row>
    <row r="429" spans="1:9" x14ac:dyDescent="0.3">
      <c r="A429">
        <v>1119</v>
      </c>
      <c r="B429" t="s">
        <v>254</v>
      </c>
      <c r="C429" t="s">
        <v>345</v>
      </c>
      <c r="D429" t="s">
        <v>62</v>
      </c>
      <c r="E429" t="s">
        <v>36</v>
      </c>
      <c r="F429" t="s">
        <v>133</v>
      </c>
      <c r="G429">
        <v>4</v>
      </c>
      <c r="H429">
        <v>4813</v>
      </c>
      <c r="I429">
        <v>19252</v>
      </c>
    </row>
    <row r="430" spans="1:9" x14ac:dyDescent="0.3">
      <c r="A430">
        <v>1347</v>
      </c>
      <c r="B430" t="s">
        <v>96</v>
      </c>
      <c r="C430" t="s">
        <v>351</v>
      </c>
      <c r="D430" t="s">
        <v>62</v>
      </c>
      <c r="E430" t="s">
        <v>136</v>
      </c>
      <c r="F430" t="s">
        <v>67</v>
      </c>
      <c r="G430">
        <v>1</v>
      </c>
      <c r="H430">
        <v>2312</v>
      </c>
      <c r="I430">
        <v>2312</v>
      </c>
    </row>
    <row r="431" spans="1:9" x14ac:dyDescent="0.3">
      <c r="A431">
        <v>1225</v>
      </c>
      <c r="B431" t="s">
        <v>387</v>
      </c>
      <c r="C431" t="s">
        <v>521</v>
      </c>
      <c r="D431" t="s">
        <v>35</v>
      </c>
      <c r="E431" t="s">
        <v>140</v>
      </c>
      <c r="G431">
        <v>5</v>
      </c>
      <c r="H431">
        <v>4588</v>
      </c>
      <c r="I431">
        <v>22940</v>
      </c>
    </row>
    <row r="432" spans="1:9" x14ac:dyDescent="0.3">
      <c r="A432">
        <v>1254</v>
      </c>
      <c r="B432" t="s">
        <v>347</v>
      </c>
      <c r="C432" t="s">
        <v>247</v>
      </c>
      <c r="D432" t="s">
        <v>11</v>
      </c>
      <c r="E432" t="s">
        <v>136</v>
      </c>
      <c r="F432" t="s">
        <v>22</v>
      </c>
      <c r="G432">
        <v>4</v>
      </c>
      <c r="H432">
        <v>2771</v>
      </c>
      <c r="I432">
        <v>11084</v>
      </c>
    </row>
    <row r="433" spans="1:9" x14ac:dyDescent="0.3">
      <c r="A433">
        <v>1275</v>
      </c>
      <c r="B433" t="s">
        <v>479</v>
      </c>
      <c r="C433" t="s">
        <v>202</v>
      </c>
      <c r="D433" t="s">
        <v>16</v>
      </c>
      <c r="E433" t="s">
        <v>39</v>
      </c>
      <c r="F433" t="s">
        <v>53</v>
      </c>
      <c r="G433">
        <v>2</v>
      </c>
      <c r="H433">
        <v>2374</v>
      </c>
      <c r="I433">
        <v>4748</v>
      </c>
    </row>
    <row r="434" spans="1:9" x14ac:dyDescent="0.3">
      <c r="A434">
        <v>1255</v>
      </c>
      <c r="B434" t="s">
        <v>522</v>
      </c>
      <c r="C434" t="s">
        <v>523</v>
      </c>
      <c r="D434" t="s">
        <v>25</v>
      </c>
      <c r="E434" t="s">
        <v>17</v>
      </c>
      <c r="F434" t="s">
        <v>72</v>
      </c>
      <c r="G434">
        <v>4</v>
      </c>
      <c r="H434">
        <v>254</v>
      </c>
      <c r="I434">
        <v>1016</v>
      </c>
    </row>
    <row r="435" spans="1:9" x14ac:dyDescent="0.3">
      <c r="A435">
        <v>1043</v>
      </c>
      <c r="B435" t="s">
        <v>524</v>
      </c>
      <c r="C435" t="s">
        <v>291</v>
      </c>
      <c r="D435" t="s">
        <v>62</v>
      </c>
      <c r="E435" t="s">
        <v>36</v>
      </c>
      <c r="F435" t="s">
        <v>75</v>
      </c>
      <c r="G435">
        <v>2</v>
      </c>
      <c r="H435">
        <v>4387</v>
      </c>
      <c r="I435">
        <v>8774</v>
      </c>
    </row>
    <row r="436" spans="1:9" x14ac:dyDescent="0.3">
      <c r="A436">
        <v>1590</v>
      </c>
      <c r="B436" t="s">
        <v>65</v>
      </c>
      <c r="C436" t="s">
        <v>454</v>
      </c>
      <c r="D436" t="s">
        <v>35</v>
      </c>
      <c r="E436" t="s">
        <v>136</v>
      </c>
      <c r="F436" t="s">
        <v>46</v>
      </c>
      <c r="G436">
        <v>4</v>
      </c>
      <c r="H436">
        <v>1631</v>
      </c>
      <c r="I436">
        <v>6524</v>
      </c>
    </row>
    <row r="437" spans="1:9" x14ac:dyDescent="0.3">
      <c r="A437">
        <v>1530</v>
      </c>
      <c r="B437" t="s">
        <v>525</v>
      </c>
      <c r="C437" t="s">
        <v>97</v>
      </c>
      <c r="D437" t="s">
        <v>52</v>
      </c>
      <c r="E437" t="s">
        <v>31</v>
      </c>
      <c r="F437" t="s">
        <v>32</v>
      </c>
      <c r="G437">
        <v>5</v>
      </c>
      <c r="H437">
        <v>1025</v>
      </c>
      <c r="I437">
        <v>5125</v>
      </c>
    </row>
    <row r="438" spans="1:9" x14ac:dyDescent="0.3">
      <c r="A438">
        <v>1265</v>
      </c>
      <c r="B438" t="s">
        <v>90</v>
      </c>
      <c r="C438" t="s">
        <v>519</v>
      </c>
      <c r="D438" t="s">
        <v>62</v>
      </c>
      <c r="E438" t="s">
        <v>36</v>
      </c>
      <c r="F438" t="s">
        <v>13</v>
      </c>
      <c r="G438">
        <v>5</v>
      </c>
      <c r="H438">
        <v>3010</v>
      </c>
      <c r="I438">
        <v>15050</v>
      </c>
    </row>
    <row r="439" spans="1:9" x14ac:dyDescent="0.3">
      <c r="A439">
        <v>1215</v>
      </c>
      <c r="B439" t="s">
        <v>94</v>
      </c>
      <c r="C439" t="s">
        <v>521</v>
      </c>
      <c r="D439" t="s">
        <v>30</v>
      </c>
      <c r="E439" t="s">
        <v>26</v>
      </c>
      <c r="F439" t="s">
        <v>95</v>
      </c>
      <c r="G439">
        <v>4</v>
      </c>
      <c r="H439">
        <v>1673</v>
      </c>
      <c r="I439">
        <v>6692</v>
      </c>
    </row>
    <row r="440" spans="1:9" x14ac:dyDescent="0.3">
      <c r="A440">
        <v>1234</v>
      </c>
      <c r="B440" t="s">
        <v>211</v>
      </c>
      <c r="C440" t="s">
        <v>55</v>
      </c>
      <c r="D440" t="s">
        <v>52</v>
      </c>
      <c r="E440" t="s">
        <v>26</v>
      </c>
      <c r="F440" t="s">
        <v>13</v>
      </c>
      <c r="G440">
        <v>2</v>
      </c>
      <c r="H440">
        <v>1394</v>
      </c>
      <c r="I440">
        <v>2788</v>
      </c>
    </row>
    <row r="441" spans="1:9" x14ac:dyDescent="0.3">
      <c r="A441">
        <v>1484</v>
      </c>
      <c r="B441" t="s">
        <v>102</v>
      </c>
      <c r="C441" t="s">
        <v>164</v>
      </c>
      <c r="D441" t="s">
        <v>35</v>
      </c>
      <c r="E441" t="s">
        <v>49</v>
      </c>
      <c r="F441" t="s">
        <v>46</v>
      </c>
      <c r="G441">
        <v>4</v>
      </c>
      <c r="H441">
        <v>2657</v>
      </c>
      <c r="I441">
        <v>10628</v>
      </c>
    </row>
    <row r="442" spans="1:9" x14ac:dyDescent="0.3">
      <c r="A442">
        <v>1048</v>
      </c>
      <c r="B442" t="s">
        <v>234</v>
      </c>
      <c r="C442" t="s">
        <v>449</v>
      </c>
      <c r="D442" t="s">
        <v>30</v>
      </c>
      <c r="E442" t="s">
        <v>39</v>
      </c>
      <c r="F442" t="s">
        <v>72</v>
      </c>
      <c r="G442">
        <v>4</v>
      </c>
      <c r="H442">
        <v>988</v>
      </c>
      <c r="I442">
        <v>3952</v>
      </c>
    </row>
    <row r="443" spans="1:9" x14ac:dyDescent="0.3">
      <c r="A443">
        <v>1369</v>
      </c>
      <c r="B443" t="s">
        <v>497</v>
      </c>
      <c r="C443" t="s">
        <v>491</v>
      </c>
      <c r="D443" t="s">
        <v>52</v>
      </c>
      <c r="E443" t="s">
        <v>89</v>
      </c>
      <c r="F443" t="s">
        <v>95</v>
      </c>
      <c r="G443">
        <v>1</v>
      </c>
      <c r="H443">
        <v>3076</v>
      </c>
      <c r="I443">
        <v>3076</v>
      </c>
    </row>
    <row r="444" spans="1:9" x14ac:dyDescent="0.3">
      <c r="A444">
        <v>1203</v>
      </c>
      <c r="B444" t="s">
        <v>28</v>
      </c>
      <c r="C444" t="s">
        <v>526</v>
      </c>
      <c r="D444" t="s">
        <v>35</v>
      </c>
      <c r="E444" t="s">
        <v>100</v>
      </c>
      <c r="F444" t="s">
        <v>101</v>
      </c>
      <c r="G444">
        <v>5</v>
      </c>
      <c r="H444">
        <v>4193</v>
      </c>
      <c r="I444">
        <v>20965</v>
      </c>
    </row>
    <row r="445" spans="1:9" x14ac:dyDescent="0.3">
      <c r="A445">
        <v>1080</v>
      </c>
      <c r="B445" t="s">
        <v>287</v>
      </c>
      <c r="C445" t="s">
        <v>350</v>
      </c>
      <c r="D445" t="s">
        <v>11</v>
      </c>
      <c r="E445" t="s">
        <v>12</v>
      </c>
      <c r="F445" t="s">
        <v>75</v>
      </c>
      <c r="G445">
        <v>3</v>
      </c>
      <c r="H445">
        <v>3655</v>
      </c>
      <c r="I445">
        <v>10965</v>
      </c>
    </row>
    <row r="446" spans="1:9" x14ac:dyDescent="0.3">
      <c r="A446">
        <v>1073</v>
      </c>
      <c r="B446" t="s">
        <v>458</v>
      </c>
      <c r="C446" t="s">
        <v>527</v>
      </c>
      <c r="D446" t="s">
        <v>35</v>
      </c>
      <c r="E446" t="s">
        <v>36</v>
      </c>
      <c r="F446" t="s">
        <v>13</v>
      </c>
      <c r="G446">
        <v>3</v>
      </c>
      <c r="H446">
        <v>2391</v>
      </c>
      <c r="I446">
        <v>7173</v>
      </c>
    </row>
    <row r="447" spans="1:9" x14ac:dyDescent="0.3">
      <c r="A447">
        <v>1455</v>
      </c>
      <c r="B447" t="s">
        <v>280</v>
      </c>
      <c r="C447" t="s">
        <v>88</v>
      </c>
      <c r="D447" t="s">
        <v>11</v>
      </c>
      <c r="E447" t="s">
        <v>49</v>
      </c>
      <c r="F447" t="s">
        <v>46</v>
      </c>
      <c r="G447">
        <v>1</v>
      </c>
      <c r="H447">
        <v>1224</v>
      </c>
      <c r="I447">
        <v>1224</v>
      </c>
    </row>
    <row r="448" spans="1:9" x14ac:dyDescent="0.3">
      <c r="A448">
        <v>1081</v>
      </c>
      <c r="B448" t="s">
        <v>528</v>
      </c>
      <c r="C448" t="s">
        <v>218</v>
      </c>
      <c r="D448" t="s">
        <v>25</v>
      </c>
      <c r="E448" t="s">
        <v>136</v>
      </c>
      <c r="F448" t="s">
        <v>124</v>
      </c>
      <c r="G448">
        <v>4</v>
      </c>
      <c r="H448">
        <v>4692</v>
      </c>
      <c r="I448">
        <v>18768</v>
      </c>
    </row>
    <row r="449" spans="1:9" x14ac:dyDescent="0.3">
      <c r="A449">
        <v>1536</v>
      </c>
      <c r="B449" t="s">
        <v>410</v>
      </c>
      <c r="C449" t="s">
        <v>267</v>
      </c>
      <c r="D449" t="s">
        <v>25</v>
      </c>
      <c r="E449" t="s">
        <v>12</v>
      </c>
      <c r="F449" t="s">
        <v>133</v>
      </c>
      <c r="G449">
        <v>4</v>
      </c>
      <c r="H449">
        <v>2734</v>
      </c>
      <c r="I449">
        <v>10936</v>
      </c>
    </row>
    <row r="450" spans="1:9" x14ac:dyDescent="0.3">
      <c r="A450">
        <v>1453</v>
      </c>
      <c r="B450" t="s">
        <v>198</v>
      </c>
      <c r="C450" t="s">
        <v>311</v>
      </c>
      <c r="D450" t="s">
        <v>42</v>
      </c>
      <c r="E450" t="s">
        <v>39</v>
      </c>
      <c r="F450" t="s">
        <v>18</v>
      </c>
      <c r="G450">
        <v>1</v>
      </c>
      <c r="H450">
        <v>3123</v>
      </c>
      <c r="I450">
        <v>3123</v>
      </c>
    </row>
    <row r="451" spans="1:9" x14ac:dyDescent="0.3">
      <c r="A451">
        <v>1487</v>
      </c>
      <c r="B451" t="s">
        <v>320</v>
      </c>
      <c r="C451" t="s">
        <v>305</v>
      </c>
      <c r="D451" t="s">
        <v>11</v>
      </c>
      <c r="E451" t="s">
        <v>26</v>
      </c>
      <c r="F451" t="s">
        <v>133</v>
      </c>
      <c r="G451">
        <v>5</v>
      </c>
      <c r="H451">
        <v>1650</v>
      </c>
      <c r="I451">
        <v>8250</v>
      </c>
    </row>
    <row r="452" spans="1:9" x14ac:dyDescent="0.3">
      <c r="A452">
        <v>1577</v>
      </c>
      <c r="B452" t="s">
        <v>163</v>
      </c>
      <c r="C452" t="s">
        <v>472</v>
      </c>
      <c r="D452" t="s">
        <v>16</v>
      </c>
      <c r="E452" t="s">
        <v>26</v>
      </c>
      <c r="F452" t="s">
        <v>95</v>
      </c>
      <c r="G452">
        <v>1</v>
      </c>
      <c r="H452">
        <v>3819</v>
      </c>
      <c r="I452">
        <v>3819</v>
      </c>
    </row>
    <row r="453" spans="1:9" x14ac:dyDescent="0.3">
      <c r="A453">
        <v>1159</v>
      </c>
      <c r="B453" t="s">
        <v>529</v>
      </c>
      <c r="C453" t="s">
        <v>530</v>
      </c>
      <c r="D453" t="s">
        <v>35</v>
      </c>
      <c r="E453" t="s">
        <v>31</v>
      </c>
      <c r="F453" t="s">
        <v>57</v>
      </c>
      <c r="G453">
        <v>3</v>
      </c>
      <c r="H453">
        <v>4043</v>
      </c>
      <c r="I453">
        <v>12129</v>
      </c>
    </row>
    <row r="454" spans="1:9" x14ac:dyDescent="0.3">
      <c r="A454">
        <v>1503</v>
      </c>
      <c r="B454" t="s">
        <v>531</v>
      </c>
      <c r="C454" t="s">
        <v>532</v>
      </c>
      <c r="D454" t="s">
        <v>16</v>
      </c>
      <c r="E454" t="s">
        <v>56</v>
      </c>
      <c r="F454" t="s">
        <v>78</v>
      </c>
      <c r="G454">
        <v>1</v>
      </c>
      <c r="H454">
        <v>4690</v>
      </c>
      <c r="I454">
        <v>4690</v>
      </c>
    </row>
    <row r="455" spans="1:9" x14ac:dyDescent="0.3">
      <c r="A455">
        <v>1574</v>
      </c>
      <c r="B455" t="s">
        <v>262</v>
      </c>
      <c r="C455" t="s">
        <v>260</v>
      </c>
      <c r="D455" t="s">
        <v>52</v>
      </c>
      <c r="E455" t="s">
        <v>140</v>
      </c>
      <c r="F455" t="s">
        <v>114</v>
      </c>
      <c r="G455">
        <v>2</v>
      </c>
      <c r="H455">
        <v>2354</v>
      </c>
      <c r="I455">
        <v>4708</v>
      </c>
    </row>
    <row r="456" spans="1:9" x14ac:dyDescent="0.3">
      <c r="A456">
        <v>1529</v>
      </c>
      <c r="B456" t="s">
        <v>141</v>
      </c>
      <c r="C456" t="s">
        <v>251</v>
      </c>
      <c r="D456" t="s">
        <v>52</v>
      </c>
      <c r="E456" t="s">
        <v>36</v>
      </c>
      <c r="F456" t="s">
        <v>95</v>
      </c>
      <c r="G456">
        <v>2</v>
      </c>
      <c r="H456">
        <v>760</v>
      </c>
      <c r="I456">
        <v>1520</v>
      </c>
    </row>
    <row r="457" spans="1:9" x14ac:dyDescent="0.3">
      <c r="A457">
        <v>1466</v>
      </c>
      <c r="B457" t="s">
        <v>522</v>
      </c>
      <c r="C457" t="s">
        <v>533</v>
      </c>
      <c r="D457" t="s">
        <v>16</v>
      </c>
      <c r="E457" t="s">
        <v>26</v>
      </c>
      <c r="F457" t="s">
        <v>133</v>
      </c>
      <c r="G457">
        <v>3</v>
      </c>
      <c r="H457">
        <v>358</v>
      </c>
      <c r="I457">
        <v>1074</v>
      </c>
    </row>
    <row r="458" spans="1:9" x14ac:dyDescent="0.3">
      <c r="A458">
        <v>1022</v>
      </c>
      <c r="B458" t="s">
        <v>90</v>
      </c>
      <c r="C458" t="s">
        <v>534</v>
      </c>
      <c r="D458" t="s">
        <v>11</v>
      </c>
      <c r="E458" t="s">
        <v>56</v>
      </c>
      <c r="F458" t="s">
        <v>112</v>
      </c>
      <c r="G458">
        <v>4</v>
      </c>
      <c r="H458">
        <v>267</v>
      </c>
      <c r="I458">
        <v>1068</v>
      </c>
    </row>
    <row r="459" spans="1:9" x14ac:dyDescent="0.3">
      <c r="A459">
        <v>1505</v>
      </c>
      <c r="B459" t="s">
        <v>233</v>
      </c>
      <c r="C459" t="s">
        <v>162</v>
      </c>
      <c r="D459" t="s">
        <v>35</v>
      </c>
      <c r="E459" t="s">
        <v>45</v>
      </c>
      <c r="F459" t="s">
        <v>22</v>
      </c>
      <c r="G459">
        <v>4</v>
      </c>
      <c r="H459">
        <v>459</v>
      </c>
      <c r="I459">
        <v>1836</v>
      </c>
    </row>
    <row r="460" spans="1:9" x14ac:dyDescent="0.3">
      <c r="A460">
        <v>1149</v>
      </c>
      <c r="B460" t="s">
        <v>446</v>
      </c>
      <c r="C460" t="s">
        <v>206</v>
      </c>
      <c r="D460" t="s">
        <v>11</v>
      </c>
      <c r="E460" t="s">
        <v>45</v>
      </c>
      <c r="F460" t="s">
        <v>124</v>
      </c>
      <c r="G460">
        <v>2</v>
      </c>
      <c r="H460">
        <v>2248</v>
      </c>
      <c r="I460">
        <v>4496</v>
      </c>
    </row>
    <row r="461" spans="1:9" x14ac:dyDescent="0.3">
      <c r="A461">
        <v>1124</v>
      </c>
      <c r="B461" t="s">
        <v>68</v>
      </c>
      <c r="C461" t="s">
        <v>82</v>
      </c>
      <c r="D461" t="s">
        <v>42</v>
      </c>
      <c r="E461" t="s">
        <v>49</v>
      </c>
      <c r="F461" t="s">
        <v>46</v>
      </c>
      <c r="G461">
        <v>2</v>
      </c>
      <c r="H461">
        <v>3975</v>
      </c>
      <c r="I461">
        <v>7950</v>
      </c>
    </row>
    <row r="462" spans="1:9" x14ac:dyDescent="0.3">
      <c r="A462">
        <v>1213</v>
      </c>
      <c r="B462" t="s">
        <v>465</v>
      </c>
      <c r="C462" t="s">
        <v>276</v>
      </c>
      <c r="D462" t="s">
        <v>42</v>
      </c>
      <c r="E462" t="s">
        <v>12</v>
      </c>
      <c r="F462" t="s">
        <v>95</v>
      </c>
      <c r="G462">
        <v>5</v>
      </c>
      <c r="H462">
        <v>4467</v>
      </c>
      <c r="I462">
        <v>22335</v>
      </c>
    </row>
    <row r="463" spans="1:9" x14ac:dyDescent="0.3">
      <c r="A463">
        <v>1305</v>
      </c>
      <c r="B463" t="s">
        <v>337</v>
      </c>
      <c r="C463" t="s">
        <v>512</v>
      </c>
      <c r="D463" t="s">
        <v>16</v>
      </c>
      <c r="E463" t="s">
        <v>83</v>
      </c>
      <c r="G463">
        <v>4</v>
      </c>
      <c r="H463">
        <v>2858</v>
      </c>
      <c r="I463">
        <v>11432</v>
      </c>
    </row>
    <row r="464" spans="1:9" x14ac:dyDescent="0.3">
      <c r="A464">
        <v>1598</v>
      </c>
      <c r="B464" t="s">
        <v>535</v>
      </c>
      <c r="C464" t="s">
        <v>260</v>
      </c>
      <c r="D464" t="s">
        <v>62</v>
      </c>
      <c r="E464" t="s">
        <v>17</v>
      </c>
      <c r="F464" t="s">
        <v>72</v>
      </c>
      <c r="G464">
        <v>5</v>
      </c>
      <c r="H464">
        <v>1469</v>
      </c>
      <c r="I464">
        <v>7345</v>
      </c>
    </row>
    <row r="465" spans="1:9" x14ac:dyDescent="0.3">
      <c r="A465">
        <v>1161</v>
      </c>
      <c r="B465" t="s">
        <v>536</v>
      </c>
      <c r="C465" t="s">
        <v>247</v>
      </c>
      <c r="D465" t="s">
        <v>35</v>
      </c>
      <c r="E465" t="s">
        <v>89</v>
      </c>
      <c r="F465" t="s">
        <v>27</v>
      </c>
      <c r="G465">
        <v>2</v>
      </c>
      <c r="H465">
        <v>4593</v>
      </c>
      <c r="I465">
        <v>9186</v>
      </c>
    </row>
    <row r="466" spans="1:9" x14ac:dyDescent="0.3">
      <c r="A466">
        <v>1238</v>
      </c>
      <c r="B466" t="s">
        <v>209</v>
      </c>
      <c r="C466" t="s">
        <v>139</v>
      </c>
      <c r="D466" t="s">
        <v>42</v>
      </c>
      <c r="E466" t="s">
        <v>12</v>
      </c>
      <c r="F466" t="s">
        <v>75</v>
      </c>
      <c r="G466">
        <v>4</v>
      </c>
      <c r="H466">
        <v>3134</v>
      </c>
      <c r="I466">
        <v>12536</v>
      </c>
    </row>
    <row r="467" spans="1:9" x14ac:dyDescent="0.3">
      <c r="A467">
        <v>1040</v>
      </c>
      <c r="B467" t="s">
        <v>408</v>
      </c>
      <c r="C467" t="s">
        <v>537</v>
      </c>
      <c r="D467" t="s">
        <v>62</v>
      </c>
      <c r="E467" t="s">
        <v>21</v>
      </c>
      <c r="F467" t="s">
        <v>67</v>
      </c>
      <c r="G467">
        <v>2</v>
      </c>
      <c r="H467">
        <v>4842</v>
      </c>
      <c r="I467">
        <v>9684</v>
      </c>
    </row>
    <row r="468" spans="1:9" x14ac:dyDescent="0.3">
      <c r="A468">
        <v>1479</v>
      </c>
      <c r="B468" t="s">
        <v>270</v>
      </c>
      <c r="C468" t="s">
        <v>538</v>
      </c>
      <c r="D468" t="s">
        <v>62</v>
      </c>
      <c r="E468" t="s">
        <v>39</v>
      </c>
      <c r="F468" t="s">
        <v>72</v>
      </c>
      <c r="G468">
        <v>3</v>
      </c>
      <c r="H468">
        <v>2357</v>
      </c>
      <c r="I468">
        <v>7071</v>
      </c>
    </row>
    <row r="469" spans="1:9" x14ac:dyDescent="0.3">
      <c r="A469">
        <v>1518</v>
      </c>
      <c r="B469" t="s">
        <v>475</v>
      </c>
      <c r="C469" t="s">
        <v>539</v>
      </c>
      <c r="D469" t="s">
        <v>16</v>
      </c>
      <c r="E469" t="s">
        <v>100</v>
      </c>
      <c r="F469" t="s">
        <v>72</v>
      </c>
      <c r="G469">
        <v>3</v>
      </c>
      <c r="H469">
        <v>718</v>
      </c>
      <c r="I469">
        <v>2154</v>
      </c>
    </row>
    <row r="470" spans="1:9" x14ac:dyDescent="0.3">
      <c r="A470">
        <v>1396</v>
      </c>
      <c r="B470" t="s">
        <v>76</v>
      </c>
      <c r="C470" t="s">
        <v>472</v>
      </c>
      <c r="D470" t="s">
        <v>30</v>
      </c>
      <c r="E470" t="s">
        <v>49</v>
      </c>
      <c r="F470" t="s">
        <v>67</v>
      </c>
      <c r="G470">
        <v>3</v>
      </c>
      <c r="H470">
        <v>3557</v>
      </c>
      <c r="I470">
        <v>10671</v>
      </c>
    </row>
    <row r="471" spans="1:9" x14ac:dyDescent="0.3">
      <c r="A471">
        <v>1535</v>
      </c>
      <c r="B471" t="s">
        <v>131</v>
      </c>
      <c r="C471" t="s">
        <v>91</v>
      </c>
      <c r="D471" t="s">
        <v>42</v>
      </c>
      <c r="E471" t="s">
        <v>31</v>
      </c>
      <c r="F471" t="s">
        <v>93</v>
      </c>
      <c r="G471">
        <v>2</v>
      </c>
      <c r="H471">
        <v>1076</v>
      </c>
      <c r="I471">
        <v>2152</v>
      </c>
    </row>
    <row r="472" spans="1:9" x14ac:dyDescent="0.3">
      <c r="A472">
        <v>1584</v>
      </c>
      <c r="B472" t="s">
        <v>456</v>
      </c>
      <c r="C472" t="s">
        <v>463</v>
      </c>
      <c r="D472" t="s">
        <v>42</v>
      </c>
      <c r="E472" t="s">
        <v>21</v>
      </c>
      <c r="F472" t="s">
        <v>46</v>
      </c>
      <c r="G472">
        <v>3</v>
      </c>
      <c r="H472">
        <v>2008</v>
      </c>
      <c r="I472">
        <v>6024</v>
      </c>
    </row>
    <row r="473" spans="1:9" x14ac:dyDescent="0.3">
      <c r="A473">
        <v>1213</v>
      </c>
      <c r="B473" t="s">
        <v>540</v>
      </c>
      <c r="C473" t="s">
        <v>169</v>
      </c>
      <c r="D473" t="s">
        <v>35</v>
      </c>
      <c r="E473" t="s">
        <v>83</v>
      </c>
      <c r="F473" t="s">
        <v>78</v>
      </c>
      <c r="G473">
        <v>5</v>
      </c>
      <c r="H473">
        <v>3607</v>
      </c>
      <c r="I473">
        <v>18035</v>
      </c>
    </row>
    <row r="474" spans="1:9" x14ac:dyDescent="0.3">
      <c r="A474">
        <v>1059</v>
      </c>
      <c r="B474" t="s">
        <v>332</v>
      </c>
      <c r="C474" t="s">
        <v>206</v>
      </c>
      <c r="D474" t="s">
        <v>25</v>
      </c>
      <c r="E474" t="s">
        <v>56</v>
      </c>
      <c r="F474" t="s">
        <v>32</v>
      </c>
      <c r="G474">
        <v>2</v>
      </c>
      <c r="H474">
        <v>4455</v>
      </c>
      <c r="I474">
        <v>8910</v>
      </c>
    </row>
    <row r="475" spans="1:9" x14ac:dyDescent="0.3">
      <c r="A475">
        <v>1544</v>
      </c>
      <c r="B475" t="s">
        <v>392</v>
      </c>
      <c r="C475" t="s">
        <v>375</v>
      </c>
      <c r="D475" t="s">
        <v>11</v>
      </c>
      <c r="E475" t="s">
        <v>39</v>
      </c>
      <c r="F475" t="s">
        <v>18</v>
      </c>
      <c r="G475">
        <v>5</v>
      </c>
      <c r="H475">
        <v>4772</v>
      </c>
      <c r="I475">
        <v>23860</v>
      </c>
    </row>
    <row r="476" spans="1:9" x14ac:dyDescent="0.3">
      <c r="A476">
        <v>1590</v>
      </c>
      <c r="B476" t="s">
        <v>541</v>
      </c>
      <c r="C476" t="s">
        <v>542</v>
      </c>
      <c r="D476" t="s">
        <v>11</v>
      </c>
      <c r="E476" t="s">
        <v>136</v>
      </c>
      <c r="F476" t="s">
        <v>46</v>
      </c>
      <c r="G476">
        <v>2</v>
      </c>
      <c r="H476">
        <v>4705</v>
      </c>
      <c r="I476">
        <v>9410</v>
      </c>
    </row>
    <row r="477" spans="1:9" x14ac:dyDescent="0.3">
      <c r="A477">
        <v>1161</v>
      </c>
      <c r="B477" t="s">
        <v>376</v>
      </c>
      <c r="C477" t="s">
        <v>256</v>
      </c>
      <c r="D477" t="s">
        <v>35</v>
      </c>
      <c r="E477" t="s">
        <v>21</v>
      </c>
      <c r="F477" t="s">
        <v>22</v>
      </c>
      <c r="G477">
        <v>3</v>
      </c>
      <c r="H477">
        <v>3577</v>
      </c>
      <c r="I477">
        <v>10731</v>
      </c>
    </row>
    <row r="478" spans="1:9" x14ac:dyDescent="0.3">
      <c r="A478">
        <v>1331</v>
      </c>
      <c r="B478" t="s">
        <v>37</v>
      </c>
      <c r="C478" t="s">
        <v>331</v>
      </c>
      <c r="E478" t="s">
        <v>100</v>
      </c>
      <c r="F478" t="s">
        <v>53</v>
      </c>
      <c r="G478">
        <v>4</v>
      </c>
      <c r="H478">
        <v>3865</v>
      </c>
      <c r="I478">
        <v>15460</v>
      </c>
    </row>
    <row r="479" spans="1:9" x14ac:dyDescent="0.3">
      <c r="A479">
        <v>1035</v>
      </c>
      <c r="B479" t="s">
        <v>353</v>
      </c>
      <c r="C479" t="s">
        <v>189</v>
      </c>
      <c r="D479" t="s">
        <v>30</v>
      </c>
      <c r="E479" t="s">
        <v>31</v>
      </c>
      <c r="F479" t="s">
        <v>57</v>
      </c>
      <c r="G479">
        <v>1</v>
      </c>
      <c r="H479">
        <v>2660</v>
      </c>
      <c r="I479">
        <v>2660</v>
      </c>
    </row>
    <row r="480" spans="1:9" x14ac:dyDescent="0.3">
      <c r="A480">
        <v>1322</v>
      </c>
      <c r="B480" t="s">
        <v>401</v>
      </c>
      <c r="C480" t="s">
        <v>284</v>
      </c>
      <c r="D480" t="s">
        <v>25</v>
      </c>
      <c r="E480" t="s">
        <v>12</v>
      </c>
      <c r="F480" t="s">
        <v>133</v>
      </c>
      <c r="G480">
        <v>1</v>
      </c>
      <c r="H480">
        <v>3971</v>
      </c>
      <c r="I480">
        <v>3971</v>
      </c>
    </row>
    <row r="481" spans="1:9" x14ac:dyDescent="0.3">
      <c r="A481">
        <v>1375</v>
      </c>
      <c r="B481" t="s">
        <v>358</v>
      </c>
      <c r="C481" t="s">
        <v>82</v>
      </c>
      <c r="D481" t="s">
        <v>25</v>
      </c>
      <c r="E481" t="s">
        <v>100</v>
      </c>
      <c r="F481" t="s">
        <v>101</v>
      </c>
      <c r="G481">
        <v>5</v>
      </c>
      <c r="H481">
        <v>3475</v>
      </c>
      <c r="I481">
        <v>17375</v>
      </c>
    </row>
    <row r="482" spans="1:9" x14ac:dyDescent="0.3">
      <c r="A482">
        <v>1079</v>
      </c>
      <c r="B482" t="s">
        <v>459</v>
      </c>
      <c r="C482" t="s">
        <v>420</v>
      </c>
      <c r="D482" t="s">
        <v>25</v>
      </c>
      <c r="E482" t="s">
        <v>45</v>
      </c>
      <c r="F482" t="s">
        <v>128</v>
      </c>
      <c r="G482">
        <v>5</v>
      </c>
      <c r="H482">
        <v>2660</v>
      </c>
      <c r="I482">
        <v>13300</v>
      </c>
    </row>
    <row r="483" spans="1:9" x14ac:dyDescent="0.3">
      <c r="A483">
        <v>1390</v>
      </c>
      <c r="B483" t="s">
        <v>458</v>
      </c>
      <c r="C483" t="s">
        <v>241</v>
      </c>
      <c r="D483" t="s">
        <v>52</v>
      </c>
      <c r="E483" t="s">
        <v>56</v>
      </c>
      <c r="F483" t="s">
        <v>112</v>
      </c>
      <c r="G483">
        <v>4</v>
      </c>
      <c r="H483">
        <v>1187</v>
      </c>
      <c r="I483">
        <v>4748</v>
      </c>
    </row>
    <row r="484" spans="1:9" x14ac:dyDescent="0.3">
      <c r="A484">
        <v>1011</v>
      </c>
      <c r="B484" t="s">
        <v>509</v>
      </c>
      <c r="C484" t="s">
        <v>241</v>
      </c>
      <c r="D484" t="s">
        <v>42</v>
      </c>
      <c r="E484" t="s">
        <v>21</v>
      </c>
      <c r="F484" t="s">
        <v>124</v>
      </c>
      <c r="G484">
        <v>3</v>
      </c>
      <c r="H484">
        <v>4623</v>
      </c>
      <c r="I484">
        <v>13869</v>
      </c>
    </row>
    <row r="485" spans="1:9" x14ac:dyDescent="0.3">
      <c r="A485">
        <v>1226</v>
      </c>
      <c r="B485" t="s">
        <v>50</v>
      </c>
      <c r="C485" t="s">
        <v>485</v>
      </c>
      <c r="D485" t="s">
        <v>16</v>
      </c>
      <c r="E485" t="s">
        <v>136</v>
      </c>
      <c r="F485" t="s">
        <v>46</v>
      </c>
      <c r="G485">
        <v>4</v>
      </c>
      <c r="H485">
        <v>2573</v>
      </c>
      <c r="I485">
        <v>10292</v>
      </c>
    </row>
    <row r="486" spans="1:9" x14ac:dyDescent="0.3">
      <c r="A486">
        <v>1344</v>
      </c>
      <c r="B486" t="s">
        <v>410</v>
      </c>
      <c r="C486" t="s">
        <v>342</v>
      </c>
      <c r="D486" t="s">
        <v>30</v>
      </c>
      <c r="E486" t="s">
        <v>92</v>
      </c>
      <c r="F486" t="s">
        <v>57</v>
      </c>
      <c r="G486">
        <v>1</v>
      </c>
      <c r="H486">
        <v>3464</v>
      </c>
      <c r="I486">
        <v>3464</v>
      </c>
    </row>
    <row r="487" spans="1:9" x14ac:dyDescent="0.3">
      <c r="A487">
        <v>1133</v>
      </c>
      <c r="B487" t="s">
        <v>543</v>
      </c>
      <c r="C487" t="s">
        <v>544</v>
      </c>
      <c r="D487" t="s">
        <v>16</v>
      </c>
      <c r="E487" t="s">
        <v>140</v>
      </c>
      <c r="F487" t="s">
        <v>53</v>
      </c>
      <c r="G487">
        <v>5</v>
      </c>
      <c r="H487">
        <v>4494</v>
      </c>
      <c r="I487">
        <v>22470</v>
      </c>
    </row>
    <row r="488" spans="1:9" x14ac:dyDescent="0.3">
      <c r="A488">
        <v>1440</v>
      </c>
      <c r="B488" t="s">
        <v>448</v>
      </c>
      <c r="C488" t="s">
        <v>41</v>
      </c>
      <c r="D488" t="s">
        <v>52</v>
      </c>
      <c r="E488" t="s">
        <v>92</v>
      </c>
      <c r="F488" t="s">
        <v>32</v>
      </c>
      <c r="G488">
        <v>3</v>
      </c>
      <c r="H488">
        <v>3053</v>
      </c>
      <c r="I488">
        <v>9159</v>
      </c>
    </row>
    <row r="489" spans="1:9" x14ac:dyDescent="0.3">
      <c r="A489">
        <v>1024</v>
      </c>
      <c r="B489" t="s">
        <v>170</v>
      </c>
      <c r="C489" t="s">
        <v>385</v>
      </c>
      <c r="D489" t="s">
        <v>11</v>
      </c>
      <c r="E489" t="s">
        <v>26</v>
      </c>
      <c r="F489" t="s">
        <v>133</v>
      </c>
      <c r="G489">
        <v>4</v>
      </c>
      <c r="H489">
        <v>567</v>
      </c>
      <c r="I489">
        <v>2268</v>
      </c>
    </row>
    <row r="490" spans="1:9" x14ac:dyDescent="0.3">
      <c r="A490">
        <v>1382</v>
      </c>
      <c r="B490" t="s">
        <v>545</v>
      </c>
      <c r="C490" t="s">
        <v>224</v>
      </c>
      <c r="D490" t="s">
        <v>16</v>
      </c>
      <c r="E490" t="s">
        <v>83</v>
      </c>
      <c r="F490" t="s">
        <v>32</v>
      </c>
      <c r="G490">
        <v>5</v>
      </c>
      <c r="H490">
        <v>1409</v>
      </c>
      <c r="I490">
        <v>7045</v>
      </c>
    </row>
    <row r="491" spans="1:9" x14ac:dyDescent="0.3">
      <c r="A491">
        <v>1014</v>
      </c>
      <c r="B491" t="s">
        <v>546</v>
      </c>
      <c r="C491" t="s">
        <v>547</v>
      </c>
      <c r="D491" t="s">
        <v>62</v>
      </c>
      <c r="E491" t="s">
        <v>92</v>
      </c>
      <c r="F491" t="s">
        <v>112</v>
      </c>
      <c r="G491">
        <v>1</v>
      </c>
      <c r="H491">
        <v>2918</v>
      </c>
      <c r="I491">
        <v>2918</v>
      </c>
    </row>
    <row r="492" spans="1:9" x14ac:dyDescent="0.3">
      <c r="A492">
        <v>1208</v>
      </c>
      <c r="B492" t="s">
        <v>380</v>
      </c>
      <c r="C492" t="s">
        <v>488</v>
      </c>
      <c r="D492" t="s">
        <v>11</v>
      </c>
      <c r="E492" t="s">
        <v>26</v>
      </c>
      <c r="F492" t="s">
        <v>133</v>
      </c>
      <c r="G492">
        <v>1</v>
      </c>
      <c r="H492">
        <v>3285</v>
      </c>
      <c r="I492">
        <v>3285</v>
      </c>
    </row>
    <row r="493" spans="1:9" x14ac:dyDescent="0.3">
      <c r="A493">
        <v>1044</v>
      </c>
      <c r="B493" t="s">
        <v>122</v>
      </c>
      <c r="C493" t="s">
        <v>385</v>
      </c>
      <c r="E493" t="s">
        <v>31</v>
      </c>
      <c r="F493" t="s">
        <v>112</v>
      </c>
      <c r="G493">
        <v>1</v>
      </c>
      <c r="H493">
        <v>4008</v>
      </c>
      <c r="I493">
        <v>4008</v>
      </c>
    </row>
    <row r="494" spans="1:9" x14ac:dyDescent="0.3">
      <c r="A494">
        <v>1397</v>
      </c>
      <c r="B494" t="s">
        <v>468</v>
      </c>
      <c r="C494" t="s">
        <v>548</v>
      </c>
      <c r="D494" t="s">
        <v>30</v>
      </c>
      <c r="E494" t="s">
        <v>89</v>
      </c>
      <c r="F494" t="s">
        <v>27</v>
      </c>
      <c r="G494">
        <v>4</v>
      </c>
      <c r="H494">
        <v>2093</v>
      </c>
      <c r="I494">
        <v>8372</v>
      </c>
    </row>
    <row r="495" spans="1:9" x14ac:dyDescent="0.3">
      <c r="A495">
        <v>1101</v>
      </c>
      <c r="B495" t="s">
        <v>43</v>
      </c>
      <c r="C495" t="s">
        <v>144</v>
      </c>
      <c r="D495" t="s">
        <v>62</v>
      </c>
      <c r="E495" t="s">
        <v>31</v>
      </c>
      <c r="F495" t="s">
        <v>93</v>
      </c>
      <c r="G495">
        <v>5</v>
      </c>
      <c r="H495">
        <v>376</v>
      </c>
      <c r="I495">
        <v>1880</v>
      </c>
    </row>
    <row r="496" spans="1:9" x14ac:dyDescent="0.3">
      <c r="A496">
        <v>1312</v>
      </c>
      <c r="B496" t="s">
        <v>549</v>
      </c>
      <c r="C496" t="s">
        <v>169</v>
      </c>
      <c r="D496" t="s">
        <v>35</v>
      </c>
      <c r="E496" t="s">
        <v>136</v>
      </c>
      <c r="F496" t="s">
        <v>128</v>
      </c>
      <c r="G496">
        <v>3</v>
      </c>
      <c r="H496">
        <v>3111</v>
      </c>
      <c r="I496">
        <v>9333</v>
      </c>
    </row>
    <row r="497" spans="1:9" x14ac:dyDescent="0.3">
      <c r="A497">
        <v>1513</v>
      </c>
      <c r="B497" t="s">
        <v>237</v>
      </c>
      <c r="C497" t="s">
        <v>368</v>
      </c>
      <c r="D497" t="s">
        <v>42</v>
      </c>
      <c r="E497" t="s">
        <v>92</v>
      </c>
      <c r="F497" t="s">
        <v>112</v>
      </c>
      <c r="G497">
        <v>5</v>
      </c>
      <c r="H497">
        <v>2495</v>
      </c>
      <c r="I497">
        <v>12475</v>
      </c>
    </row>
    <row r="498" spans="1:9" x14ac:dyDescent="0.3">
      <c r="A498">
        <v>1402</v>
      </c>
      <c r="B498" t="s">
        <v>299</v>
      </c>
      <c r="C498" t="s">
        <v>146</v>
      </c>
      <c r="D498" t="s">
        <v>52</v>
      </c>
      <c r="E498" t="s">
        <v>31</v>
      </c>
      <c r="F498" t="s">
        <v>78</v>
      </c>
      <c r="G498">
        <v>2</v>
      </c>
      <c r="H498">
        <v>4893</v>
      </c>
      <c r="I498">
        <v>9786</v>
      </c>
    </row>
    <row r="499" spans="1:9" x14ac:dyDescent="0.3">
      <c r="A499">
        <v>1337</v>
      </c>
      <c r="B499" t="s">
        <v>240</v>
      </c>
      <c r="C499" t="s">
        <v>550</v>
      </c>
      <c r="D499" t="s">
        <v>16</v>
      </c>
      <c r="E499" t="s">
        <v>39</v>
      </c>
      <c r="F499" t="s">
        <v>114</v>
      </c>
      <c r="G499">
        <v>2</v>
      </c>
      <c r="H499">
        <v>2731</v>
      </c>
      <c r="I499">
        <v>5462</v>
      </c>
    </row>
    <row r="500" spans="1:9" x14ac:dyDescent="0.3">
      <c r="A500">
        <v>1138</v>
      </c>
      <c r="B500" t="s">
        <v>306</v>
      </c>
      <c r="C500" t="s">
        <v>274</v>
      </c>
      <c r="D500" t="s">
        <v>35</v>
      </c>
      <c r="E500" t="s">
        <v>39</v>
      </c>
      <c r="F500" t="s">
        <v>18</v>
      </c>
      <c r="G500">
        <v>1</v>
      </c>
      <c r="H500">
        <v>4765</v>
      </c>
      <c r="I500">
        <v>4765</v>
      </c>
    </row>
    <row r="501" spans="1:9" x14ac:dyDescent="0.3">
      <c r="A501">
        <v>1188</v>
      </c>
      <c r="B501" t="s">
        <v>209</v>
      </c>
      <c r="C501" t="s">
        <v>463</v>
      </c>
      <c r="D501" t="s">
        <v>52</v>
      </c>
      <c r="E501" t="s">
        <v>100</v>
      </c>
      <c r="F501" t="s">
        <v>72</v>
      </c>
      <c r="G501">
        <v>4</v>
      </c>
      <c r="H501">
        <v>2685</v>
      </c>
      <c r="I501">
        <v>10740</v>
      </c>
    </row>
    <row r="502" spans="1:9" x14ac:dyDescent="0.3">
      <c r="A502">
        <v>1280</v>
      </c>
      <c r="B502" t="s">
        <v>551</v>
      </c>
      <c r="C502" t="s">
        <v>241</v>
      </c>
      <c r="D502" t="s">
        <v>11</v>
      </c>
      <c r="E502" t="s">
        <v>39</v>
      </c>
      <c r="F502" t="s">
        <v>72</v>
      </c>
      <c r="G502">
        <v>1</v>
      </c>
      <c r="H502">
        <v>2386</v>
      </c>
      <c r="I502">
        <v>2386</v>
      </c>
    </row>
    <row r="503" spans="1:9" x14ac:dyDescent="0.3">
      <c r="A503">
        <v>1237</v>
      </c>
      <c r="B503" t="s">
        <v>552</v>
      </c>
      <c r="C503" t="s">
        <v>41</v>
      </c>
      <c r="D503" t="s">
        <v>62</v>
      </c>
      <c r="E503" t="s">
        <v>83</v>
      </c>
      <c r="F503" t="s">
        <v>112</v>
      </c>
      <c r="G503">
        <v>2</v>
      </c>
      <c r="H503">
        <v>4315</v>
      </c>
      <c r="I503">
        <v>8630</v>
      </c>
    </row>
    <row r="504" spans="1:9" x14ac:dyDescent="0.3">
      <c r="A504">
        <v>1382</v>
      </c>
      <c r="B504" t="s">
        <v>553</v>
      </c>
      <c r="C504" t="s">
        <v>150</v>
      </c>
      <c r="D504" t="s">
        <v>11</v>
      </c>
      <c r="E504" t="s">
        <v>45</v>
      </c>
      <c r="F504" t="s">
        <v>46</v>
      </c>
      <c r="G504">
        <v>2</v>
      </c>
      <c r="H504">
        <v>1783</v>
      </c>
      <c r="I504">
        <v>3566</v>
      </c>
    </row>
    <row r="505" spans="1:9" x14ac:dyDescent="0.3">
      <c r="A505">
        <v>1015</v>
      </c>
      <c r="B505" t="s">
        <v>476</v>
      </c>
      <c r="C505" t="s">
        <v>193</v>
      </c>
      <c r="D505" t="s">
        <v>16</v>
      </c>
      <c r="E505" t="s">
        <v>49</v>
      </c>
      <c r="F505" t="s">
        <v>128</v>
      </c>
      <c r="G505">
        <v>1</v>
      </c>
      <c r="H505">
        <v>1650</v>
      </c>
      <c r="I505">
        <v>1650</v>
      </c>
    </row>
    <row r="506" spans="1:9" x14ac:dyDescent="0.3">
      <c r="A506">
        <v>1501</v>
      </c>
      <c r="B506" t="s">
        <v>554</v>
      </c>
      <c r="C506" t="s">
        <v>226</v>
      </c>
      <c r="D506" t="s">
        <v>52</v>
      </c>
      <c r="E506" t="s">
        <v>45</v>
      </c>
      <c r="F506" t="s">
        <v>128</v>
      </c>
      <c r="G506">
        <v>1</v>
      </c>
      <c r="H506">
        <v>3316</v>
      </c>
      <c r="I506">
        <v>3316</v>
      </c>
    </row>
    <row r="507" spans="1:9" x14ac:dyDescent="0.3">
      <c r="A507">
        <v>1585</v>
      </c>
      <c r="B507" t="s">
        <v>555</v>
      </c>
      <c r="C507" t="s">
        <v>365</v>
      </c>
      <c r="D507" t="s">
        <v>62</v>
      </c>
      <c r="E507" t="s">
        <v>83</v>
      </c>
      <c r="F507" t="s">
        <v>57</v>
      </c>
      <c r="G507">
        <v>4</v>
      </c>
      <c r="H507">
        <v>547</v>
      </c>
      <c r="I507">
        <v>2188</v>
      </c>
    </row>
    <row r="508" spans="1:9" x14ac:dyDescent="0.3">
      <c r="A508">
        <v>1550</v>
      </c>
      <c r="B508" t="s">
        <v>255</v>
      </c>
      <c r="C508" t="s">
        <v>314</v>
      </c>
      <c r="D508" t="s">
        <v>42</v>
      </c>
      <c r="E508" t="s">
        <v>92</v>
      </c>
      <c r="F508" t="s">
        <v>57</v>
      </c>
      <c r="G508">
        <v>2</v>
      </c>
      <c r="H508">
        <v>2585</v>
      </c>
      <c r="I508">
        <v>5170</v>
      </c>
    </row>
    <row r="509" spans="1:9" x14ac:dyDescent="0.3">
      <c r="A509">
        <v>1292</v>
      </c>
      <c r="B509" t="s">
        <v>81</v>
      </c>
      <c r="C509" t="s">
        <v>218</v>
      </c>
      <c r="D509" t="s">
        <v>11</v>
      </c>
      <c r="E509" t="s">
        <v>136</v>
      </c>
      <c r="F509" t="s">
        <v>22</v>
      </c>
      <c r="G509">
        <v>4</v>
      </c>
      <c r="H509">
        <v>3900</v>
      </c>
      <c r="I509">
        <v>15600</v>
      </c>
    </row>
    <row r="510" spans="1:9" x14ac:dyDescent="0.3">
      <c r="A510">
        <v>1184</v>
      </c>
      <c r="B510" t="s">
        <v>47</v>
      </c>
      <c r="C510" t="s">
        <v>507</v>
      </c>
      <c r="D510" t="s">
        <v>35</v>
      </c>
      <c r="E510" t="s">
        <v>140</v>
      </c>
      <c r="F510" t="s">
        <v>53</v>
      </c>
      <c r="G510">
        <v>4</v>
      </c>
      <c r="H510">
        <v>404</v>
      </c>
      <c r="I510">
        <v>1616</v>
      </c>
    </row>
    <row r="511" spans="1:9" x14ac:dyDescent="0.3">
      <c r="A511">
        <v>1206</v>
      </c>
      <c r="B511" t="s">
        <v>86</v>
      </c>
      <c r="C511" t="s">
        <v>247</v>
      </c>
      <c r="D511" t="s">
        <v>25</v>
      </c>
      <c r="E511" t="s">
        <v>12</v>
      </c>
      <c r="F511" t="s">
        <v>95</v>
      </c>
      <c r="G511">
        <v>1</v>
      </c>
      <c r="H511">
        <v>1135</v>
      </c>
      <c r="I511">
        <v>1135</v>
      </c>
    </row>
    <row r="512" spans="1:9" x14ac:dyDescent="0.3">
      <c r="A512">
        <v>1087</v>
      </c>
      <c r="B512" t="s">
        <v>371</v>
      </c>
      <c r="C512" t="s">
        <v>381</v>
      </c>
      <c r="D512" t="s">
        <v>52</v>
      </c>
      <c r="E512" t="s">
        <v>49</v>
      </c>
      <c r="F512" t="s">
        <v>67</v>
      </c>
      <c r="G512">
        <v>5</v>
      </c>
      <c r="H512">
        <v>3317</v>
      </c>
      <c r="I512">
        <v>16585</v>
      </c>
    </row>
    <row r="513" spans="1:9" x14ac:dyDescent="0.3">
      <c r="A513">
        <v>1343</v>
      </c>
      <c r="B513" t="s">
        <v>235</v>
      </c>
      <c r="C513" t="s">
        <v>212</v>
      </c>
      <c r="D513" t="s">
        <v>11</v>
      </c>
      <c r="E513" t="s">
        <v>39</v>
      </c>
      <c r="F513" t="s">
        <v>114</v>
      </c>
      <c r="G513">
        <v>1</v>
      </c>
      <c r="H513">
        <v>3637</v>
      </c>
      <c r="I513">
        <v>3637</v>
      </c>
    </row>
    <row r="514" spans="1:9" x14ac:dyDescent="0.3">
      <c r="A514">
        <v>1456</v>
      </c>
      <c r="B514" t="s">
        <v>347</v>
      </c>
      <c r="C514" t="s">
        <v>51</v>
      </c>
      <c r="D514" t="s">
        <v>16</v>
      </c>
      <c r="E514" t="s">
        <v>39</v>
      </c>
      <c r="G514">
        <v>1</v>
      </c>
      <c r="H514">
        <v>2273</v>
      </c>
      <c r="I514">
        <v>2273</v>
      </c>
    </row>
    <row r="515" spans="1:9" x14ac:dyDescent="0.3">
      <c r="A515">
        <v>1510</v>
      </c>
      <c r="B515" t="s">
        <v>207</v>
      </c>
      <c r="C515" t="s">
        <v>251</v>
      </c>
      <c r="D515" t="s">
        <v>16</v>
      </c>
      <c r="E515" t="s">
        <v>92</v>
      </c>
      <c r="F515" t="s">
        <v>57</v>
      </c>
      <c r="G515">
        <v>2</v>
      </c>
      <c r="H515">
        <v>4097</v>
      </c>
      <c r="I515">
        <v>8194</v>
      </c>
    </row>
    <row r="516" spans="1:9" x14ac:dyDescent="0.3">
      <c r="A516">
        <v>1006</v>
      </c>
      <c r="B516" t="s">
        <v>328</v>
      </c>
      <c r="C516" t="s">
        <v>99</v>
      </c>
      <c r="D516" t="s">
        <v>42</v>
      </c>
      <c r="E516" t="s">
        <v>12</v>
      </c>
      <c r="F516" t="s">
        <v>133</v>
      </c>
      <c r="G516">
        <v>2</v>
      </c>
      <c r="H516">
        <v>1414</v>
      </c>
      <c r="I516">
        <v>2828</v>
      </c>
    </row>
    <row r="517" spans="1:9" x14ac:dyDescent="0.3">
      <c r="A517">
        <v>1148</v>
      </c>
      <c r="B517" t="s">
        <v>367</v>
      </c>
      <c r="C517" t="s">
        <v>103</v>
      </c>
      <c r="D517" t="s">
        <v>42</v>
      </c>
      <c r="E517" t="s">
        <v>89</v>
      </c>
      <c r="F517" t="s">
        <v>95</v>
      </c>
      <c r="G517">
        <v>1</v>
      </c>
      <c r="H517">
        <v>3615</v>
      </c>
      <c r="I517">
        <v>3615</v>
      </c>
    </row>
    <row r="518" spans="1:9" x14ac:dyDescent="0.3">
      <c r="A518">
        <v>1291</v>
      </c>
      <c r="B518" t="s">
        <v>403</v>
      </c>
      <c r="C518" t="s">
        <v>171</v>
      </c>
      <c r="D518" t="s">
        <v>42</v>
      </c>
      <c r="E518" t="s">
        <v>100</v>
      </c>
      <c r="F518" t="s">
        <v>53</v>
      </c>
      <c r="G518">
        <v>1</v>
      </c>
      <c r="H518">
        <v>2651</v>
      </c>
      <c r="I518">
        <v>2651</v>
      </c>
    </row>
    <row r="519" spans="1:9" x14ac:dyDescent="0.3">
      <c r="A519">
        <v>1069</v>
      </c>
      <c r="B519" t="s">
        <v>556</v>
      </c>
      <c r="C519" t="s">
        <v>557</v>
      </c>
      <c r="D519" t="s">
        <v>11</v>
      </c>
      <c r="E519" t="s">
        <v>92</v>
      </c>
      <c r="F519" t="s">
        <v>112</v>
      </c>
      <c r="G519">
        <v>1</v>
      </c>
      <c r="H519">
        <v>2448</v>
      </c>
      <c r="I519">
        <v>2448</v>
      </c>
    </row>
    <row r="520" spans="1:9" x14ac:dyDescent="0.3">
      <c r="A520">
        <v>1214</v>
      </c>
      <c r="B520" t="s">
        <v>292</v>
      </c>
      <c r="C520" t="s">
        <v>105</v>
      </c>
      <c r="D520" t="s">
        <v>62</v>
      </c>
      <c r="E520" t="s">
        <v>83</v>
      </c>
      <c r="F520" t="s">
        <v>32</v>
      </c>
      <c r="G520">
        <v>5</v>
      </c>
      <c r="H520">
        <v>2552</v>
      </c>
      <c r="I520">
        <v>12760</v>
      </c>
    </row>
    <row r="521" spans="1:9" x14ac:dyDescent="0.3">
      <c r="A521">
        <v>1265</v>
      </c>
      <c r="B521" t="s">
        <v>558</v>
      </c>
      <c r="C521" t="s">
        <v>526</v>
      </c>
      <c r="D521" t="s">
        <v>62</v>
      </c>
      <c r="E521" t="s">
        <v>26</v>
      </c>
      <c r="F521" t="s">
        <v>13</v>
      </c>
      <c r="G521">
        <v>4</v>
      </c>
      <c r="H521">
        <v>1673</v>
      </c>
      <c r="I521">
        <v>6692</v>
      </c>
    </row>
    <row r="522" spans="1:9" x14ac:dyDescent="0.3">
      <c r="A522">
        <v>1297</v>
      </c>
      <c r="B522" t="s">
        <v>559</v>
      </c>
      <c r="C522" t="s">
        <v>107</v>
      </c>
      <c r="D522" t="s">
        <v>25</v>
      </c>
      <c r="E522" t="s">
        <v>92</v>
      </c>
      <c r="F522" t="s">
        <v>32</v>
      </c>
      <c r="G522">
        <v>2</v>
      </c>
      <c r="H522">
        <v>3596</v>
      </c>
      <c r="I522">
        <v>7192</v>
      </c>
    </row>
    <row r="523" spans="1:9" x14ac:dyDescent="0.3">
      <c r="A523">
        <v>1573</v>
      </c>
      <c r="B523" t="s">
        <v>455</v>
      </c>
      <c r="C523" t="s">
        <v>44</v>
      </c>
      <c r="D523" t="s">
        <v>30</v>
      </c>
      <c r="E523" t="s">
        <v>56</v>
      </c>
      <c r="F523" t="s">
        <v>93</v>
      </c>
      <c r="G523">
        <v>1</v>
      </c>
      <c r="H523">
        <v>2721</v>
      </c>
      <c r="I523">
        <v>2721</v>
      </c>
    </row>
    <row r="524" spans="1:9" x14ac:dyDescent="0.3">
      <c r="A524">
        <v>1006</v>
      </c>
      <c r="B524" t="s">
        <v>560</v>
      </c>
      <c r="C524" t="s">
        <v>41</v>
      </c>
      <c r="D524" t="s">
        <v>42</v>
      </c>
      <c r="E524" t="s">
        <v>26</v>
      </c>
      <c r="F524" t="s">
        <v>95</v>
      </c>
      <c r="G524">
        <v>2</v>
      </c>
      <c r="H524">
        <v>1789</v>
      </c>
      <c r="I524">
        <v>3578</v>
      </c>
    </row>
    <row r="525" spans="1:9" x14ac:dyDescent="0.3">
      <c r="A525">
        <v>1490</v>
      </c>
      <c r="B525" t="s">
        <v>465</v>
      </c>
      <c r="C525" t="s">
        <v>395</v>
      </c>
      <c r="D525" t="s">
        <v>11</v>
      </c>
      <c r="E525" t="s">
        <v>92</v>
      </c>
      <c r="F525" t="s">
        <v>93</v>
      </c>
      <c r="G525">
        <v>4</v>
      </c>
      <c r="H525">
        <v>4598</v>
      </c>
      <c r="I525">
        <v>18392</v>
      </c>
    </row>
    <row r="526" spans="1:9" x14ac:dyDescent="0.3">
      <c r="A526">
        <v>1423</v>
      </c>
      <c r="B526" t="s">
        <v>446</v>
      </c>
      <c r="C526" t="s">
        <v>34</v>
      </c>
      <c r="D526" t="s">
        <v>42</v>
      </c>
      <c r="E526" t="s">
        <v>36</v>
      </c>
      <c r="F526" t="s">
        <v>133</v>
      </c>
      <c r="G526">
        <v>2</v>
      </c>
      <c r="H526">
        <v>4930</v>
      </c>
      <c r="I526">
        <v>9860</v>
      </c>
    </row>
    <row r="527" spans="1:9" x14ac:dyDescent="0.3">
      <c r="A527">
        <v>1362</v>
      </c>
      <c r="B527" t="s">
        <v>561</v>
      </c>
      <c r="C527" t="s">
        <v>534</v>
      </c>
      <c r="D527" t="s">
        <v>35</v>
      </c>
      <c r="E527" t="s">
        <v>17</v>
      </c>
      <c r="F527" t="s">
        <v>101</v>
      </c>
      <c r="G527">
        <v>4</v>
      </c>
      <c r="H527">
        <v>4576</v>
      </c>
      <c r="I527">
        <v>18304</v>
      </c>
    </row>
    <row r="528" spans="1:9" x14ac:dyDescent="0.3">
      <c r="A528">
        <v>1398</v>
      </c>
      <c r="B528" t="s">
        <v>90</v>
      </c>
      <c r="C528" t="s">
        <v>189</v>
      </c>
      <c r="D528" t="s">
        <v>42</v>
      </c>
      <c r="E528" t="s">
        <v>56</v>
      </c>
      <c r="F528" t="s">
        <v>112</v>
      </c>
      <c r="G528">
        <v>3</v>
      </c>
      <c r="H528">
        <v>3590</v>
      </c>
      <c r="I528">
        <v>10770</v>
      </c>
    </row>
    <row r="529" spans="1:9" x14ac:dyDescent="0.3">
      <c r="A529">
        <v>1380</v>
      </c>
      <c r="B529" t="s">
        <v>439</v>
      </c>
      <c r="C529" t="s">
        <v>293</v>
      </c>
      <c r="D529" t="s">
        <v>11</v>
      </c>
      <c r="E529" t="s">
        <v>36</v>
      </c>
      <c r="F529" t="s">
        <v>13</v>
      </c>
      <c r="G529">
        <v>1</v>
      </c>
      <c r="H529">
        <v>3265</v>
      </c>
      <c r="I529">
        <v>3265</v>
      </c>
    </row>
    <row r="530" spans="1:9" x14ac:dyDescent="0.3">
      <c r="A530">
        <v>1094</v>
      </c>
      <c r="B530" t="s">
        <v>217</v>
      </c>
      <c r="C530" t="s">
        <v>562</v>
      </c>
      <c r="D530" t="s">
        <v>16</v>
      </c>
      <c r="E530" t="s">
        <v>31</v>
      </c>
      <c r="F530" t="s">
        <v>78</v>
      </c>
      <c r="G530">
        <v>3</v>
      </c>
      <c r="H530">
        <v>4160</v>
      </c>
      <c r="I530">
        <v>12480</v>
      </c>
    </row>
    <row r="531" spans="1:9" x14ac:dyDescent="0.3">
      <c r="A531">
        <v>1335</v>
      </c>
      <c r="B531" t="s">
        <v>219</v>
      </c>
      <c r="C531" t="s">
        <v>323</v>
      </c>
      <c r="D531" t="s">
        <v>16</v>
      </c>
      <c r="E531" t="s">
        <v>31</v>
      </c>
      <c r="F531" t="s">
        <v>57</v>
      </c>
      <c r="G531">
        <v>1</v>
      </c>
      <c r="H531">
        <v>3963</v>
      </c>
      <c r="I531">
        <v>3963</v>
      </c>
    </row>
    <row r="532" spans="1:9" x14ac:dyDescent="0.3">
      <c r="A532">
        <v>1118</v>
      </c>
      <c r="B532" t="s">
        <v>563</v>
      </c>
      <c r="C532" t="s">
        <v>69</v>
      </c>
      <c r="D532" t="s">
        <v>35</v>
      </c>
      <c r="E532" t="s">
        <v>83</v>
      </c>
      <c r="F532" t="s">
        <v>57</v>
      </c>
      <c r="G532">
        <v>4</v>
      </c>
      <c r="H532">
        <v>577</v>
      </c>
      <c r="I532">
        <v>2308</v>
      </c>
    </row>
    <row r="533" spans="1:9" x14ac:dyDescent="0.3">
      <c r="A533">
        <v>1319</v>
      </c>
      <c r="B533" t="s">
        <v>401</v>
      </c>
      <c r="C533" t="s">
        <v>526</v>
      </c>
      <c r="D533" t="s">
        <v>16</v>
      </c>
      <c r="E533" t="s">
        <v>36</v>
      </c>
      <c r="F533" t="s">
        <v>13</v>
      </c>
      <c r="G533">
        <v>2</v>
      </c>
      <c r="H533">
        <v>2547</v>
      </c>
      <c r="I533">
        <v>5094</v>
      </c>
    </row>
    <row r="534" spans="1:9" x14ac:dyDescent="0.3">
      <c r="A534">
        <v>1451</v>
      </c>
      <c r="B534" t="s">
        <v>564</v>
      </c>
      <c r="C534" t="s">
        <v>565</v>
      </c>
      <c r="D534" t="s">
        <v>30</v>
      </c>
      <c r="E534" t="s">
        <v>12</v>
      </c>
      <c r="F534" t="s">
        <v>13</v>
      </c>
      <c r="G534">
        <v>1</v>
      </c>
      <c r="H534">
        <v>324</v>
      </c>
      <c r="I534">
        <v>324</v>
      </c>
    </row>
    <row r="535" spans="1:9" x14ac:dyDescent="0.3">
      <c r="A535">
        <v>1104</v>
      </c>
      <c r="B535" t="s">
        <v>413</v>
      </c>
      <c r="C535" t="s">
        <v>550</v>
      </c>
      <c r="D535" t="s">
        <v>30</v>
      </c>
      <c r="E535" t="s">
        <v>36</v>
      </c>
      <c r="F535" t="s">
        <v>133</v>
      </c>
      <c r="G535">
        <v>2</v>
      </c>
      <c r="H535">
        <v>2520</v>
      </c>
      <c r="I535">
        <v>5040</v>
      </c>
    </row>
    <row r="536" spans="1:9" x14ac:dyDescent="0.3">
      <c r="A536">
        <v>1318</v>
      </c>
      <c r="B536" t="s">
        <v>141</v>
      </c>
      <c r="C536" t="s">
        <v>363</v>
      </c>
      <c r="D536" t="s">
        <v>42</v>
      </c>
      <c r="E536" t="s">
        <v>26</v>
      </c>
      <c r="F536" t="s">
        <v>133</v>
      </c>
      <c r="G536">
        <v>2</v>
      </c>
      <c r="H536">
        <v>437</v>
      </c>
      <c r="I536">
        <v>874</v>
      </c>
    </row>
    <row r="537" spans="1:9" x14ac:dyDescent="0.3">
      <c r="A537">
        <v>1108</v>
      </c>
      <c r="B537" t="s">
        <v>566</v>
      </c>
      <c r="C537" t="s">
        <v>454</v>
      </c>
      <c r="D537" t="s">
        <v>11</v>
      </c>
      <c r="E537" t="s">
        <v>92</v>
      </c>
      <c r="F537" t="s">
        <v>78</v>
      </c>
      <c r="G537">
        <v>5</v>
      </c>
      <c r="H537">
        <v>3852</v>
      </c>
      <c r="I537">
        <v>19260</v>
      </c>
    </row>
    <row r="538" spans="1:9" x14ac:dyDescent="0.3">
      <c r="A538">
        <v>1202</v>
      </c>
      <c r="B538" t="s">
        <v>68</v>
      </c>
      <c r="C538" t="s">
        <v>433</v>
      </c>
      <c r="D538" t="s">
        <v>25</v>
      </c>
      <c r="E538" t="s">
        <v>31</v>
      </c>
      <c r="F538" t="s">
        <v>78</v>
      </c>
      <c r="G538">
        <v>4</v>
      </c>
      <c r="H538">
        <v>996</v>
      </c>
      <c r="I538">
        <v>3984</v>
      </c>
    </row>
    <row r="539" spans="1:9" x14ac:dyDescent="0.3">
      <c r="A539">
        <v>1476</v>
      </c>
      <c r="B539" t="s">
        <v>213</v>
      </c>
      <c r="C539" t="s">
        <v>173</v>
      </c>
      <c r="D539" t="s">
        <v>35</v>
      </c>
      <c r="E539" t="s">
        <v>100</v>
      </c>
      <c r="F539" t="s">
        <v>114</v>
      </c>
      <c r="G539">
        <v>4</v>
      </c>
      <c r="H539">
        <v>1702</v>
      </c>
      <c r="I539">
        <v>6808</v>
      </c>
    </row>
    <row r="540" spans="1:9" x14ac:dyDescent="0.3">
      <c r="A540">
        <v>1332</v>
      </c>
      <c r="B540" t="s">
        <v>86</v>
      </c>
      <c r="C540" t="s">
        <v>144</v>
      </c>
      <c r="D540" t="s">
        <v>25</v>
      </c>
      <c r="E540" t="s">
        <v>92</v>
      </c>
      <c r="F540" t="s">
        <v>32</v>
      </c>
      <c r="G540">
        <v>3</v>
      </c>
      <c r="H540">
        <v>4121</v>
      </c>
      <c r="I540">
        <v>12363</v>
      </c>
    </row>
    <row r="541" spans="1:9" x14ac:dyDescent="0.3">
      <c r="A541">
        <v>1356</v>
      </c>
      <c r="B541" t="s">
        <v>104</v>
      </c>
      <c r="C541" t="s">
        <v>526</v>
      </c>
      <c r="D541" t="s">
        <v>52</v>
      </c>
      <c r="E541" t="s">
        <v>17</v>
      </c>
      <c r="F541" t="s">
        <v>18</v>
      </c>
      <c r="G541">
        <v>1</v>
      </c>
      <c r="H541">
        <v>2869</v>
      </c>
      <c r="I541">
        <v>2869</v>
      </c>
    </row>
    <row r="542" spans="1:9" x14ac:dyDescent="0.3">
      <c r="A542">
        <v>1309</v>
      </c>
      <c r="B542" t="s">
        <v>340</v>
      </c>
      <c r="C542" t="s">
        <v>301</v>
      </c>
      <c r="D542" t="s">
        <v>16</v>
      </c>
      <c r="E542" t="s">
        <v>45</v>
      </c>
      <c r="F542" t="s">
        <v>67</v>
      </c>
      <c r="G542">
        <v>5</v>
      </c>
      <c r="H542">
        <v>2196</v>
      </c>
      <c r="I542">
        <v>10980</v>
      </c>
    </row>
    <row r="543" spans="1:9" x14ac:dyDescent="0.3">
      <c r="A543">
        <v>1393</v>
      </c>
      <c r="B543" t="s">
        <v>561</v>
      </c>
      <c r="C543" t="s">
        <v>162</v>
      </c>
      <c r="D543" t="s">
        <v>52</v>
      </c>
      <c r="E543" t="s">
        <v>140</v>
      </c>
      <c r="F543" t="s">
        <v>18</v>
      </c>
      <c r="G543">
        <v>5</v>
      </c>
      <c r="H543">
        <v>3003</v>
      </c>
      <c r="I543">
        <v>15015</v>
      </c>
    </row>
    <row r="544" spans="1:9" x14ac:dyDescent="0.3">
      <c r="A544">
        <v>1079</v>
      </c>
      <c r="B544" t="s">
        <v>435</v>
      </c>
      <c r="C544" t="s">
        <v>414</v>
      </c>
      <c r="D544" t="s">
        <v>35</v>
      </c>
      <c r="E544" t="s">
        <v>45</v>
      </c>
      <c r="F544" t="s">
        <v>124</v>
      </c>
      <c r="G544">
        <v>5</v>
      </c>
      <c r="H544">
        <v>999</v>
      </c>
      <c r="I544">
        <v>4995</v>
      </c>
    </row>
    <row r="545" spans="1:9" x14ac:dyDescent="0.3">
      <c r="A545">
        <v>1415</v>
      </c>
      <c r="B545" t="s">
        <v>98</v>
      </c>
      <c r="C545" t="s">
        <v>256</v>
      </c>
      <c r="D545" t="s">
        <v>35</v>
      </c>
      <c r="E545" t="s">
        <v>92</v>
      </c>
      <c r="F545" t="s">
        <v>57</v>
      </c>
      <c r="G545">
        <v>4</v>
      </c>
      <c r="H545">
        <v>703</v>
      </c>
      <c r="I545">
        <v>2812</v>
      </c>
    </row>
    <row r="546" spans="1:9" x14ac:dyDescent="0.3">
      <c r="A546">
        <v>1594</v>
      </c>
      <c r="B546" t="s">
        <v>33</v>
      </c>
      <c r="C546" t="s">
        <v>368</v>
      </c>
      <c r="D546" t="s">
        <v>62</v>
      </c>
      <c r="E546" t="s">
        <v>31</v>
      </c>
      <c r="F546" t="s">
        <v>93</v>
      </c>
      <c r="G546">
        <v>5</v>
      </c>
      <c r="H546">
        <v>2587</v>
      </c>
      <c r="I546">
        <v>12935</v>
      </c>
    </row>
    <row r="547" spans="1:9" x14ac:dyDescent="0.3">
      <c r="A547">
        <v>1200</v>
      </c>
      <c r="B547" t="s">
        <v>413</v>
      </c>
      <c r="C547" t="s">
        <v>351</v>
      </c>
      <c r="D547" t="s">
        <v>52</v>
      </c>
      <c r="E547" t="s">
        <v>36</v>
      </c>
      <c r="F547" t="s">
        <v>95</v>
      </c>
      <c r="G547">
        <v>3</v>
      </c>
      <c r="H547">
        <v>931</v>
      </c>
      <c r="I547">
        <v>2793</v>
      </c>
    </row>
    <row r="548" spans="1:9" x14ac:dyDescent="0.3">
      <c r="A548">
        <v>1522</v>
      </c>
      <c r="B548" t="s">
        <v>567</v>
      </c>
      <c r="C548" t="s">
        <v>263</v>
      </c>
      <c r="D548" t="s">
        <v>35</v>
      </c>
      <c r="E548" t="s">
        <v>17</v>
      </c>
      <c r="G548">
        <v>5</v>
      </c>
      <c r="H548">
        <v>635</v>
      </c>
      <c r="I548">
        <v>3175</v>
      </c>
    </row>
    <row r="549" spans="1:9" x14ac:dyDescent="0.3">
      <c r="A549">
        <v>1367</v>
      </c>
      <c r="B549" t="s">
        <v>568</v>
      </c>
      <c r="C549" t="s">
        <v>424</v>
      </c>
      <c r="D549" t="s">
        <v>52</v>
      </c>
      <c r="E549" t="s">
        <v>12</v>
      </c>
      <c r="F549" t="s">
        <v>27</v>
      </c>
      <c r="G549">
        <v>5</v>
      </c>
      <c r="H549">
        <v>3429</v>
      </c>
      <c r="I549">
        <v>17145</v>
      </c>
    </row>
    <row r="550" spans="1:9" x14ac:dyDescent="0.3">
      <c r="A550">
        <v>1415</v>
      </c>
      <c r="B550" t="s">
        <v>287</v>
      </c>
      <c r="C550" t="s">
        <v>194</v>
      </c>
      <c r="D550" t="s">
        <v>11</v>
      </c>
      <c r="E550" t="s">
        <v>140</v>
      </c>
      <c r="F550" t="s">
        <v>114</v>
      </c>
      <c r="G550">
        <v>2</v>
      </c>
      <c r="H550">
        <v>4750</v>
      </c>
      <c r="I550">
        <v>9500</v>
      </c>
    </row>
    <row r="551" spans="1:9" x14ac:dyDescent="0.3">
      <c r="A551">
        <v>1427</v>
      </c>
      <c r="B551" t="s">
        <v>50</v>
      </c>
      <c r="C551" t="s">
        <v>87</v>
      </c>
      <c r="D551" t="s">
        <v>25</v>
      </c>
      <c r="E551" t="s">
        <v>17</v>
      </c>
      <c r="F551" t="s">
        <v>114</v>
      </c>
      <c r="G551">
        <v>1</v>
      </c>
      <c r="H551">
        <v>1379</v>
      </c>
      <c r="I551">
        <v>1379</v>
      </c>
    </row>
    <row r="552" spans="1:9" x14ac:dyDescent="0.3">
      <c r="A552">
        <v>1447</v>
      </c>
      <c r="B552" t="s">
        <v>543</v>
      </c>
      <c r="C552" t="s">
        <v>132</v>
      </c>
      <c r="D552" t="s">
        <v>52</v>
      </c>
      <c r="E552" t="s">
        <v>140</v>
      </c>
      <c r="F552" t="s">
        <v>53</v>
      </c>
      <c r="G552">
        <v>5</v>
      </c>
      <c r="H552">
        <v>1672</v>
      </c>
      <c r="I552">
        <v>8360</v>
      </c>
    </row>
    <row r="553" spans="1:9" x14ac:dyDescent="0.3">
      <c r="A553">
        <v>1460</v>
      </c>
      <c r="B553" t="s">
        <v>566</v>
      </c>
      <c r="C553" t="s">
        <v>167</v>
      </c>
      <c r="D553" t="s">
        <v>42</v>
      </c>
      <c r="E553" t="s">
        <v>140</v>
      </c>
      <c r="F553" t="s">
        <v>114</v>
      </c>
      <c r="G553">
        <v>5</v>
      </c>
      <c r="H553">
        <v>4280</v>
      </c>
      <c r="I553">
        <v>21400</v>
      </c>
    </row>
    <row r="554" spans="1:9" x14ac:dyDescent="0.3">
      <c r="A554">
        <v>1513</v>
      </c>
      <c r="B554" t="s">
        <v>569</v>
      </c>
      <c r="C554" t="s">
        <v>196</v>
      </c>
      <c r="D554" t="s">
        <v>62</v>
      </c>
      <c r="E554" t="s">
        <v>89</v>
      </c>
      <c r="F554" t="s">
        <v>27</v>
      </c>
      <c r="G554">
        <v>3</v>
      </c>
      <c r="H554">
        <v>1127</v>
      </c>
      <c r="I554">
        <v>3381</v>
      </c>
    </row>
    <row r="555" spans="1:9" x14ac:dyDescent="0.3">
      <c r="A555">
        <v>1081</v>
      </c>
      <c r="B555" t="s">
        <v>570</v>
      </c>
      <c r="C555" t="s">
        <v>482</v>
      </c>
      <c r="D555" t="s">
        <v>25</v>
      </c>
      <c r="E555" t="s">
        <v>89</v>
      </c>
      <c r="F555" t="s">
        <v>75</v>
      </c>
      <c r="G555">
        <v>2</v>
      </c>
      <c r="H555">
        <v>4070</v>
      </c>
      <c r="I555">
        <v>8140</v>
      </c>
    </row>
    <row r="556" spans="1:9" x14ac:dyDescent="0.3">
      <c r="A556">
        <v>1079</v>
      </c>
      <c r="B556" t="s">
        <v>300</v>
      </c>
      <c r="C556" t="s">
        <v>38</v>
      </c>
      <c r="D556" t="s">
        <v>35</v>
      </c>
      <c r="E556" t="s">
        <v>89</v>
      </c>
      <c r="F556" t="s">
        <v>133</v>
      </c>
      <c r="G556">
        <v>5</v>
      </c>
      <c r="H556">
        <v>288</v>
      </c>
      <c r="I556">
        <v>1440</v>
      </c>
    </row>
    <row r="557" spans="1:9" x14ac:dyDescent="0.3">
      <c r="A557">
        <v>1480</v>
      </c>
      <c r="B557" t="s">
        <v>443</v>
      </c>
      <c r="C557" t="s">
        <v>539</v>
      </c>
      <c r="D557" t="s">
        <v>30</v>
      </c>
      <c r="E557" t="s">
        <v>36</v>
      </c>
      <c r="F557" t="s">
        <v>75</v>
      </c>
      <c r="G557">
        <v>3</v>
      </c>
      <c r="H557">
        <v>1572</v>
      </c>
      <c r="I557">
        <v>4716</v>
      </c>
    </row>
    <row r="558" spans="1:9" x14ac:dyDescent="0.3">
      <c r="A558">
        <v>1311</v>
      </c>
      <c r="B558" t="s">
        <v>571</v>
      </c>
      <c r="C558" t="s">
        <v>481</v>
      </c>
      <c r="D558" t="s">
        <v>42</v>
      </c>
      <c r="E558" t="s">
        <v>31</v>
      </c>
      <c r="F558" t="s">
        <v>78</v>
      </c>
      <c r="G558">
        <v>3</v>
      </c>
      <c r="H558">
        <v>423</v>
      </c>
      <c r="I558">
        <v>1269</v>
      </c>
    </row>
    <row r="559" spans="1:9" x14ac:dyDescent="0.3">
      <c r="A559">
        <v>1517</v>
      </c>
      <c r="B559" t="s">
        <v>272</v>
      </c>
      <c r="C559" t="s">
        <v>126</v>
      </c>
      <c r="D559" t="s">
        <v>30</v>
      </c>
      <c r="E559" t="s">
        <v>12</v>
      </c>
      <c r="G559">
        <v>3</v>
      </c>
      <c r="H559">
        <v>2304</v>
      </c>
      <c r="I559">
        <v>6912</v>
      </c>
    </row>
    <row r="560" spans="1:9" x14ac:dyDescent="0.3">
      <c r="A560">
        <v>1178</v>
      </c>
      <c r="B560" t="s">
        <v>447</v>
      </c>
      <c r="C560" t="s">
        <v>10</v>
      </c>
      <c r="D560" t="s">
        <v>11</v>
      </c>
      <c r="E560" t="s">
        <v>100</v>
      </c>
      <c r="F560" t="s">
        <v>53</v>
      </c>
      <c r="G560">
        <v>3</v>
      </c>
      <c r="H560">
        <v>2134</v>
      </c>
      <c r="I560">
        <v>6402</v>
      </c>
    </row>
    <row r="561" spans="1:9" x14ac:dyDescent="0.3">
      <c r="A561">
        <v>1033</v>
      </c>
      <c r="B561" t="s">
        <v>546</v>
      </c>
      <c r="C561" t="s">
        <v>132</v>
      </c>
      <c r="D561" t="s">
        <v>62</v>
      </c>
      <c r="E561" t="s">
        <v>39</v>
      </c>
      <c r="F561" t="s">
        <v>18</v>
      </c>
      <c r="G561">
        <v>4</v>
      </c>
      <c r="H561">
        <v>3338</v>
      </c>
      <c r="I561">
        <v>13352</v>
      </c>
    </row>
    <row r="562" spans="1:9" x14ac:dyDescent="0.3">
      <c r="A562">
        <v>1171</v>
      </c>
      <c r="B562" t="s">
        <v>528</v>
      </c>
      <c r="C562" t="s">
        <v>526</v>
      </c>
      <c r="D562" t="s">
        <v>25</v>
      </c>
      <c r="E562" t="s">
        <v>36</v>
      </c>
      <c r="F562" t="s">
        <v>27</v>
      </c>
      <c r="G562">
        <v>1</v>
      </c>
      <c r="H562">
        <v>1572</v>
      </c>
      <c r="I562">
        <v>1572</v>
      </c>
    </row>
    <row r="563" spans="1:9" x14ac:dyDescent="0.3">
      <c r="A563">
        <v>1487</v>
      </c>
      <c r="B563" t="s">
        <v>340</v>
      </c>
      <c r="C563" t="s">
        <v>173</v>
      </c>
      <c r="E563" t="s">
        <v>45</v>
      </c>
      <c r="F563" t="s">
        <v>46</v>
      </c>
      <c r="G563">
        <v>2</v>
      </c>
      <c r="H563">
        <v>4545</v>
      </c>
      <c r="I563">
        <v>9090</v>
      </c>
    </row>
    <row r="564" spans="1:9" x14ac:dyDescent="0.3">
      <c r="A564">
        <v>1459</v>
      </c>
      <c r="B564" t="s">
        <v>287</v>
      </c>
      <c r="C564" t="s">
        <v>151</v>
      </c>
      <c r="D564" t="s">
        <v>25</v>
      </c>
      <c r="E564" t="s">
        <v>89</v>
      </c>
      <c r="F564" t="s">
        <v>133</v>
      </c>
      <c r="G564">
        <v>5</v>
      </c>
      <c r="H564">
        <v>3098</v>
      </c>
      <c r="I564">
        <v>15490</v>
      </c>
    </row>
    <row r="565" spans="1:9" x14ac:dyDescent="0.3">
      <c r="A565">
        <v>1279</v>
      </c>
      <c r="B565" t="s">
        <v>434</v>
      </c>
      <c r="C565" t="s">
        <v>548</v>
      </c>
      <c r="D565" t="s">
        <v>52</v>
      </c>
      <c r="E565" t="s">
        <v>36</v>
      </c>
      <c r="F565" t="s">
        <v>27</v>
      </c>
      <c r="G565">
        <v>4</v>
      </c>
      <c r="H565">
        <v>2180</v>
      </c>
      <c r="I565">
        <v>8720</v>
      </c>
    </row>
    <row r="566" spans="1:9" x14ac:dyDescent="0.3">
      <c r="A566">
        <v>1199</v>
      </c>
      <c r="B566" t="s">
        <v>143</v>
      </c>
      <c r="C566" t="s">
        <v>154</v>
      </c>
      <c r="D566" t="s">
        <v>42</v>
      </c>
      <c r="E566" t="s">
        <v>17</v>
      </c>
      <c r="F566" t="s">
        <v>101</v>
      </c>
      <c r="G566">
        <v>1</v>
      </c>
      <c r="H566">
        <v>297</v>
      </c>
      <c r="I566">
        <v>297</v>
      </c>
    </row>
    <row r="567" spans="1:9" x14ac:dyDescent="0.3">
      <c r="A567">
        <v>1456</v>
      </c>
      <c r="B567" t="s">
        <v>117</v>
      </c>
      <c r="C567" t="s">
        <v>572</v>
      </c>
      <c r="D567" t="s">
        <v>42</v>
      </c>
      <c r="E567" t="s">
        <v>12</v>
      </c>
      <c r="F567" t="s">
        <v>95</v>
      </c>
      <c r="G567">
        <v>1</v>
      </c>
      <c r="H567">
        <v>953</v>
      </c>
      <c r="I567">
        <v>953</v>
      </c>
    </row>
    <row r="568" spans="1:9" x14ac:dyDescent="0.3">
      <c r="A568">
        <v>1222</v>
      </c>
      <c r="B568" t="s">
        <v>573</v>
      </c>
      <c r="C568" t="s">
        <v>309</v>
      </c>
      <c r="D568" t="s">
        <v>11</v>
      </c>
      <c r="E568" t="s">
        <v>83</v>
      </c>
      <c r="F568" t="s">
        <v>32</v>
      </c>
      <c r="G568">
        <v>4</v>
      </c>
      <c r="H568">
        <v>4837</v>
      </c>
      <c r="I568">
        <v>19348</v>
      </c>
    </row>
    <row r="569" spans="1:9" x14ac:dyDescent="0.3">
      <c r="A569">
        <v>1113</v>
      </c>
      <c r="B569" t="s">
        <v>292</v>
      </c>
      <c r="C569" t="s">
        <v>390</v>
      </c>
      <c r="D569" t="s">
        <v>25</v>
      </c>
      <c r="E569" t="s">
        <v>26</v>
      </c>
      <c r="F569" t="s">
        <v>95</v>
      </c>
      <c r="G569">
        <v>4</v>
      </c>
      <c r="H569">
        <v>2464</v>
      </c>
      <c r="I569">
        <v>9856</v>
      </c>
    </row>
    <row r="570" spans="1:9" x14ac:dyDescent="0.3">
      <c r="A570">
        <v>1331</v>
      </c>
      <c r="B570" t="s">
        <v>227</v>
      </c>
      <c r="C570" t="s">
        <v>527</v>
      </c>
      <c r="D570" t="s">
        <v>52</v>
      </c>
      <c r="E570" t="s">
        <v>83</v>
      </c>
      <c r="F570" t="s">
        <v>112</v>
      </c>
      <c r="G570">
        <v>4</v>
      </c>
      <c r="H570">
        <v>2925</v>
      </c>
      <c r="I570">
        <v>11700</v>
      </c>
    </row>
    <row r="571" spans="1:9" x14ac:dyDescent="0.3">
      <c r="A571">
        <v>1271</v>
      </c>
      <c r="B571" t="s">
        <v>364</v>
      </c>
      <c r="C571" t="s">
        <v>179</v>
      </c>
      <c r="D571" t="s">
        <v>52</v>
      </c>
      <c r="E571" t="s">
        <v>31</v>
      </c>
      <c r="F571" t="s">
        <v>78</v>
      </c>
      <c r="G571">
        <v>2</v>
      </c>
      <c r="H571">
        <v>4230</v>
      </c>
      <c r="I571">
        <v>8460</v>
      </c>
    </row>
    <row r="572" spans="1:9" x14ac:dyDescent="0.3">
      <c r="A572">
        <v>1441</v>
      </c>
      <c r="B572" t="s">
        <v>233</v>
      </c>
      <c r="C572" t="s">
        <v>350</v>
      </c>
      <c r="D572" t="s">
        <v>25</v>
      </c>
      <c r="E572" t="s">
        <v>56</v>
      </c>
      <c r="F572" t="s">
        <v>78</v>
      </c>
      <c r="G572">
        <v>1</v>
      </c>
      <c r="H572">
        <v>797</v>
      </c>
      <c r="I572">
        <v>797</v>
      </c>
    </row>
    <row r="573" spans="1:9" x14ac:dyDescent="0.3">
      <c r="A573">
        <v>1456</v>
      </c>
      <c r="B573" t="s">
        <v>473</v>
      </c>
      <c r="C573" t="s">
        <v>388</v>
      </c>
      <c r="D573" t="s">
        <v>42</v>
      </c>
      <c r="E573" t="s">
        <v>136</v>
      </c>
      <c r="F573" t="s">
        <v>128</v>
      </c>
      <c r="G573">
        <v>4</v>
      </c>
      <c r="H573">
        <v>2382</v>
      </c>
      <c r="I573">
        <v>9528</v>
      </c>
    </row>
    <row r="574" spans="1:9" x14ac:dyDescent="0.3">
      <c r="A574">
        <v>1400</v>
      </c>
      <c r="B574" t="s">
        <v>520</v>
      </c>
      <c r="C574" t="s">
        <v>107</v>
      </c>
      <c r="D574" t="s">
        <v>52</v>
      </c>
      <c r="E574" t="s">
        <v>45</v>
      </c>
      <c r="F574" t="s">
        <v>46</v>
      </c>
      <c r="G574">
        <v>1</v>
      </c>
      <c r="H574">
        <v>4624</v>
      </c>
      <c r="I574">
        <v>4624</v>
      </c>
    </row>
    <row r="575" spans="1:9" x14ac:dyDescent="0.3">
      <c r="A575">
        <v>1493</v>
      </c>
      <c r="B575" t="s">
        <v>574</v>
      </c>
      <c r="C575" t="s">
        <v>460</v>
      </c>
      <c r="D575" t="s">
        <v>52</v>
      </c>
      <c r="E575" t="s">
        <v>36</v>
      </c>
      <c r="F575" t="s">
        <v>95</v>
      </c>
      <c r="G575">
        <v>1</v>
      </c>
      <c r="H575">
        <v>942</v>
      </c>
      <c r="I575">
        <v>942</v>
      </c>
    </row>
    <row r="576" spans="1:9" x14ac:dyDescent="0.3">
      <c r="A576">
        <v>1348</v>
      </c>
      <c r="B576" t="s">
        <v>145</v>
      </c>
      <c r="C576" t="s">
        <v>557</v>
      </c>
      <c r="D576" t="s">
        <v>11</v>
      </c>
      <c r="E576" t="s">
        <v>49</v>
      </c>
      <c r="F576" t="s">
        <v>22</v>
      </c>
      <c r="G576">
        <v>5</v>
      </c>
      <c r="H576">
        <v>522</v>
      </c>
      <c r="I576">
        <v>2610</v>
      </c>
    </row>
    <row r="577" spans="1:9" x14ac:dyDescent="0.3">
      <c r="A577">
        <v>1306</v>
      </c>
      <c r="B577" t="s">
        <v>292</v>
      </c>
      <c r="C577" t="s">
        <v>276</v>
      </c>
      <c r="D577" t="s">
        <v>25</v>
      </c>
      <c r="E577" t="s">
        <v>92</v>
      </c>
      <c r="F577" t="s">
        <v>112</v>
      </c>
      <c r="G577">
        <v>4</v>
      </c>
      <c r="H577">
        <v>1752</v>
      </c>
      <c r="I577">
        <v>7008</v>
      </c>
    </row>
    <row r="578" spans="1:9" x14ac:dyDescent="0.3">
      <c r="A578">
        <v>1244</v>
      </c>
      <c r="B578" t="s">
        <v>575</v>
      </c>
      <c r="C578" t="s">
        <v>276</v>
      </c>
      <c r="E578" t="s">
        <v>56</v>
      </c>
      <c r="F578" t="s">
        <v>57</v>
      </c>
      <c r="G578">
        <v>5</v>
      </c>
      <c r="H578">
        <v>3880</v>
      </c>
      <c r="I578">
        <v>19400</v>
      </c>
    </row>
    <row r="579" spans="1:9" x14ac:dyDescent="0.3">
      <c r="A579">
        <v>1347</v>
      </c>
      <c r="B579" t="s">
        <v>446</v>
      </c>
      <c r="C579" t="s">
        <v>154</v>
      </c>
      <c r="D579" t="s">
        <v>16</v>
      </c>
      <c r="E579" t="s">
        <v>83</v>
      </c>
      <c r="F579" t="s">
        <v>78</v>
      </c>
      <c r="G579">
        <v>5</v>
      </c>
      <c r="H579">
        <v>3954</v>
      </c>
      <c r="I579">
        <v>19770</v>
      </c>
    </row>
    <row r="580" spans="1:9" x14ac:dyDescent="0.3">
      <c r="A580">
        <v>1549</v>
      </c>
      <c r="B580" t="s">
        <v>576</v>
      </c>
      <c r="C580" t="s">
        <v>10</v>
      </c>
      <c r="D580" t="s">
        <v>11</v>
      </c>
      <c r="E580" t="s">
        <v>17</v>
      </c>
      <c r="F580" t="s">
        <v>72</v>
      </c>
      <c r="G580">
        <v>4</v>
      </c>
      <c r="H580">
        <v>356</v>
      </c>
      <c r="I580">
        <v>1424</v>
      </c>
    </row>
    <row r="581" spans="1:9" x14ac:dyDescent="0.3">
      <c r="A581">
        <v>1046</v>
      </c>
      <c r="B581" t="s">
        <v>203</v>
      </c>
      <c r="C581" t="s">
        <v>521</v>
      </c>
      <c r="D581" t="s">
        <v>42</v>
      </c>
      <c r="E581" t="s">
        <v>39</v>
      </c>
      <c r="F581" t="s">
        <v>72</v>
      </c>
      <c r="G581">
        <v>3</v>
      </c>
      <c r="H581">
        <v>997</v>
      </c>
      <c r="I581">
        <v>2991</v>
      </c>
    </row>
    <row r="582" spans="1:9" x14ac:dyDescent="0.3">
      <c r="A582">
        <v>1065</v>
      </c>
      <c r="B582" t="s">
        <v>489</v>
      </c>
      <c r="C582" t="s">
        <v>157</v>
      </c>
      <c r="D582" t="s">
        <v>25</v>
      </c>
      <c r="E582" t="s">
        <v>49</v>
      </c>
      <c r="F582" t="s">
        <v>67</v>
      </c>
      <c r="G582">
        <v>2</v>
      </c>
      <c r="H582">
        <v>3691</v>
      </c>
      <c r="I582">
        <v>7382</v>
      </c>
    </row>
    <row r="583" spans="1:9" x14ac:dyDescent="0.3">
      <c r="A583">
        <v>1411</v>
      </c>
      <c r="B583" t="s">
        <v>459</v>
      </c>
      <c r="C583" t="s">
        <v>565</v>
      </c>
      <c r="D583" t="s">
        <v>42</v>
      </c>
      <c r="E583" t="s">
        <v>39</v>
      </c>
      <c r="F583" t="s">
        <v>101</v>
      </c>
      <c r="G583">
        <v>5</v>
      </c>
      <c r="H583">
        <v>1620</v>
      </c>
      <c r="I583">
        <v>8100</v>
      </c>
    </row>
    <row r="584" spans="1:9" x14ac:dyDescent="0.3">
      <c r="A584">
        <v>1144</v>
      </c>
      <c r="B584" t="s">
        <v>147</v>
      </c>
      <c r="C584" t="s">
        <v>385</v>
      </c>
      <c r="D584" t="s">
        <v>62</v>
      </c>
      <c r="E584" t="s">
        <v>12</v>
      </c>
      <c r="F584" t="s">
        <v>133</v>
      </c>
      <c r="G584">
        <v>2</v>
      </c>
      <c r="H584">
        <v>4967</v>
      </c>
      <c r="I584">
        <v>9934</v>
      </c>
    </row>
    <row r="585" spans="1:9" x14ac:dyDescent="0.3">
      <c r="A585">
        <v>1385</v>
      </c>
      <c r="B585" t="s">
        <v>253</v>
      </c>
      <c r="C585" t="s">
        <v>281</v>
      </c>
      <c r="D585" t="s">
        <v>42</v>
      </c>
      <c r="E585" t="s">
        <v>136</v>
      </c>
      <c r="F585" t="s">
        <v>124</v>
      </c>
      <c r="G585">
        <v>2</v>
      </c>
      <c r="H585">
        <v>930</v>
      </c>
      <c r="I585">
        <v>1860</v>
      </c>
    </row>
    <row r="586" spans="1:9" x14ac:dyDescent="0.3">
      <c r="A586">
        <v>1290</v>
      </c>
      <c r="B586" t="s">
        <v>577</v>
      </c>
      <c r="C586" t="s">
        <v>547</v>
      </c>
      <c r="D586" t="s">
        <v>11</v>
      </c>
      <c r="E586" t="s">
        <v>49</v>
      </c>
      <c r="F586" t="s">
        <v>128</v>
      </c>
      <c r="G586">
        <v>3</v>
      </c>
      <c r="H586">
        <v>4485</v>
      </c>
      <c r="I586">
        <v>13455</v>
      </c>
    </row>
    <row r="587" spans="1:9" x14ac:dyDescent="0.3">
      <c r="A587">
        <v>1178</v>
      </c>
      <c r="B587" t="s">
        <v>403</v>
      </c>
      <c r="C587" t="s">
        <v>547</v>
      </c>
      <c r="D587" t="s">
        <v>62</v>
      </c>
      <c r="E587" t="s">
        <v>31</v>
      </c>
      <c r="F587" t="s">
        <v>57</v>
      </c>
      <c r="G587">
        <v>5</v>
      </c>
      <c r="H587">
        <v>921</v>
      </c>
      <c r="I587">
        <v>4605</v>
      </c>
    </row>
    <row r="588" spans="1:9" x14ac:dyDescent="0.3">
      <c r="A588">
        <v>1356</v>
      </c>
      <c r="B588" t="s">
        <v>94</v>
      </c>
      <c r="C588" t="s">
        <v>252</v>
      </c>
      <c r="D588" t="s">
        <v>25</v>
      </c>
      <c r="E588" t="s">
        <v>17</v>
      </c>
      <c r="F588" t="s">
        <v>114</v>
      </c>
      <c r="G588">
        <v>5</v>
      </c>
      <c r="H588">
        <v>3164</v>
      </c>
      <c r="I588">
        <v>15820</v>
      </c>
    </row>
    <row r="589" spans="1:9" x14ac:dyDescent="0.3">
      <c r="A589">
        <v>1519</v>
      </c>
      <c r="B589" t="s">
        <v>40</v>
      </c>
      <c r="C589" t="s">
        <v>301</v>
      </c>
      <c r="D589" t="s">
        <v>16</v>
      </c>
      <c r="E589" t="s">
        <v>17</v>
      </c>
      <c r="F589" t="s">
        <v>101</v>
      </c>
      <c r="G589">
        <v>1</v>
      </c>
      <c r="H589">
        <v>1422</v>
      </c>
      <c r="I589">
        <v>1422</v>
      </c>
    </row>
    <row r="590" spans="1:9" x14ac:dyDescent="0.3">
      <c r="A590">
        <v>1485</v>
      </c>
      <c r="B590" t="s">
        <v>578</v>
      </c>
      <c r="C590" t="s">
        <v>164</v>
      </c>
      <c r="D590" t="s">
        <v>35</v>
      </c>
      <c r="E590" t="s">
        <v>17</v>
      </c>
      <c r="F590" t="s">
        <v>72</v>
      </c>
      <c r="G590">
        <v>3</v>
      </c>
      <c r="H590">
        <v>1916</v>
      </c>
      <c r="I590">
        <v>5748</v>
      </c>
    </row>
    <row r="591" spans="1:9" x14ac:dyDescent="0.3">
      <c r="A591">
        <v>1464</v>
      </c>
      <c r="B591" t="s">
        <v>106</v>
      </c>
      <c r="C591" t="s">
        <v>267</v>
      </c>
      <c r="D591" t="s">
        <v>11</v>
      </c>
      <c r="E591" t="s">
        <v>31</v>
      </c>
      <c r="F591" t="s">
        <v>57</v>
      </c>
      <c r="G591">
        <v>1</v>
      </c>
      <c r="H591">
        <v>4173</v>
      </c>
      <c r="I591">
        <v>4173</v>
      </c>
    </row>
    <row r="592" spans="1:9" x14ac:dyDescent="0.3">
      <c r="A592">
        <v>1240</v>
      </c>
      <c r="B592" t="s">
        <v>217</v>
      </c>
      <c r="C592" t="s">
        <v>271</v>
      </c>
      <c r="D592" t="s">
        <v>35</v>
      </c>
      <c r="E592" t="s">
        <v>12</v>
      </c>
      <c r="F592" t="s">
        <v>75</v>
      </c>
      <c r="G592">
        <v>2</v>
      </c>
      <c r="H592">
        <v>1102</v>
      </c>
      <c r="I592">
        <v>2204</v>
      </c>
    </row>
    <row r="593" spans="1:9" x14ac:dyDescent="0.3">
      <c r="A593">
        <v>1422</v>
      </c>
      <c r="B593" t="s">
        <v>462</v>
      </c>
      <c r="C593" t="s">
        <v>208</v>
      </c>
      <c r="D593" t="s">
        <v>62</v>
      </c>
      <c r="E593" t="s">
        <v>140</v>
      </c>
      <c r="F593" t="s">
        <v>72</v>
      </c>
      <c r="G593">
        <v>1</v>
      </c>
      <c r="H593">
        <v>3770</v>
      </c>
      <c r="I593">
        <v>3770</v>
      </c>
    </row>
    <row r="594" spans="1:9" x14ac:dyDescent="0.3">
      <c r="A594">
        <v>1465</v>
      </c>
      <c r="B594" t="s">
        <v>364</v>
      </c>
      <c r="C594" t="s">
        <v>276</v>
      </c>
      <c r="D594" t="s">
        <v>16</v>
      </c>
      <c r="E594" t="s">
        <v>26</v>
      </c>
      <c r="F594" t="s">
        <v>13</v>
      </c>
      <c r="G594">
        <v>3</v>
      </c>
      <c r="H594">
        <v>2409</v>
      </c>
      <c r="I594">
        <v>7227</v>
      </c>
    </row>
    <row r="595" spans="1:9" x14ac:dyDescent="0.3">
      <c r="A595">
        <v>1582</v>
      </c>
      <c r="B595" t="s">
        <v>579</v>
      </c>
      <c r="C595" t="s">
        <v>436</v>
      </c>
      <c r="D595" t="s">
        <v>62</v>
      </c>
      <c r="E595" t="s">
        <v>140</v>
      </c>
      <c r="F595" t="s">
        <v>72</v>
      </c>
      <c r="G595">
        <v>4</v>
      </c>
      <c r="H595">
        <v>1602</v>
      </c>
      <c r="I595">
        <v>6408</v>
      </c>
    </row>
    <row r="596" spans="1:9" x14ac:dyDescent="0.3">
      <c r="A596">
        <v>1302</v>
      </c>
      <c r="B596" t="s">
        <v>104</v>
      </c>
      <c r="C596" t="s">
        <v>496</v>
      </c>
      <c r="D596" t="s">
        <v>25</v>
      </c>
      <c r="E596" t="s">
        <v>39</v>
      </c>
      <c r="F596" t="s">
        <v>18</v>
      </c>
      <c r="G596">
        <v>4</v>
      </c>
      <c r="H596">
        <v>4474</v>
      </c>
      <c r="I596">
        <v>17896</v>
      </c>
    </row>
    <row r="597" spans="1:9" x14ac:dyDescent="0.3">
      <c r="A597">
        <v>1484</v>
      </c>
      <c r="B597" t="s">
        <v>81</v>
      </c>
      <c r="C597" t="s">
        <v>436</v>
      </c>
      <c r="D597" t="s">
        <v>16</v>
      </c>
      <c r="E597" t="s">
        <v>31</v>
      </c>
      <c r="F597" t="s">
        <v>78</v>
      </c>
      <c r="G597">
        <v>3</v>
      </c>
      <c r="H597">
        <v>3757</v>
      </c>
      <c r="I597">
        <v>11271</v>
      </c>
    </row>
    <row r="598" spans="1:9" x14ac:dyDescent="0.3">
      <c r="A598">
        <v>1152</v>
      </c>
      <c r="B598" t="s">
        <v>443</v>
      </c>
      <c r="C598" t="s">
        <v>388</v>
      </c>
      <c r="D598" t="s">
        <v>42</v>
      </c>
      <c r="E598" t="s">
        <v>83</v>
      </c>
      <c r="F598" t="s">
        <v>78</v>
      </c>
      <c r="G598">
        <v>4</v>
      </c>
      <c r="H598">
        <v>4330</v>
      </c>
      <c r="I598">
        <v>17320</v>
      </c>
    </row>
    <row r="599" spans="1:9" x14ac:dyDescent="0.3">
      <c r="A599">
        <v>1490</v>
      </c>
      <c r="B599" t="s">
        <v>292</v>
      </c>
      <c r="C599" t="s">
        <v>231</v>
      </c>
      <c r="D599" t="s">
        <v>16</v>
      </c>
      <c r="E599" t="s">
        <v>92</v>
      </c>
      <c r="F599" t="s">
        <v>78</v>
      </c>
      <c r="G599">
        <v>1</v>
      </c>
      <c r="H599">
        <v>4775</v>
      </c>
      <c r="I599">
        <v>4775</v>
      </c>
    </row>
    <row r="600" spans="1:9" x14ac:dyDescent="0.3">
      <c r="A600">
        <v>1416</v>
      </c>
      <c r="B600" t="s">
        <v>233</v>
      </c>
      <c r="C600" t="s">
        <v>418</v>
      </c>
      <c r="D600" t="s">
        <v>25</v>
      </c>
      <c r="E600" t="s">
        <v>12</v>
      </c>
      <c r="F600" t="s">
        <v>95</v>
      </c>
      <c r="G600">
        <v>1</v>
      </c>
      <c r="H600">
        <v>4130</v>
      </c>
      <c r="I600">
        <v>4130</v>
      </c>
    </row>
    <row r="601" spans="1:9" x14ac:dyDescent="0.3">
      <c r="A601">
        <v>1470</v>
      </c>
      <c r="B601" t="s">
        <v>297</v>
      </c>
      <c r="C601" t="s">
        <v>88</v>
      </c>
      <c r="D601" t="s">
        <v>11</v>
      </c>
      <c r="E601" t="s">
        <v>92</v>
      </c>
      <c r="F601" t="s">
        <v>78</v>
      </c>
      <c r="G601">
        <v>4</v>
      </c>
      <c r="H601">
        <v>1715</v>
      </c>
      <c r="I601">
        <v>6860</v>
      </c>
    </row>
    <row r="602" spans="1:9" x14ac:dyDescent="0.3">
      <c r="A602">
        <v>1475</v>
      </c>
      <c r="B602" t="s">
        <v>580</v>
      </c>
      <c r="C602" t="s">
        <v>38</v>
      </c>
      <c r="D602" t="s">
        <v>35</v>
      </c>
      <c r="E602" t="s">
        <v>92</v>
      </c>
      <c r="F602" t="s">
        <v>32</v>
      </c>
      <c r="G602">
        <v>5</v>
      </c>
      <c r="H602">
        <v>467</v>
      </c>
      <c r="I602">
        <v>2335</v>
      </c>
    </row>
    <row r="603" spans="1:9" x14ac:dyDescent="0.3">
      <c r="A603">
        <v>1555</v>
      </c>
      <c r="B603" t="s">
        <v>520</v>
      </c>
      <c r="C603" t="s">
        <v>581</v>
      </c>
      <c r="D603" t="s">
        <v>42</v>
      </c>
      <c r="E603" t="s">
        <v>100</v>
      </c>
      <c r="F603" t="s">
        <v>72</v>
      </c>
      <c r="G603">
        <v>5</v>
      </c>
      <c r="H603">
        <v>3181</v>
      </c>
      <c r="I603">
        <v>15905</v>
      </c>
    </row>
    <row r="604" spans="1:9" x14ac:dyDescent="0.3">
      <c r="A604">
        <v>1374</v>
      </c>
      <c r="B604" t="s">
        <v>582</v>
      </c>
      <c r="C604" t="s">
        <v>495</v>
      </c>
      <c r="D604" t="s">
        <v>11</v>
      </c>
      <c r="E604" t="s">
        <v>56</v>
      </c>
      <c r="F604" t="s">
        <v>112</v>
      </c>
      <c r="G604">
        <v>5</v>
      </c>
      <c r="H604">
        <v>748</v>
      </c>
      <c r="I604">
        <v>3740</v>
      </c>
    </row>
    <row r="605" spans="1:9" x14ac:dyDescent="0.3">
      <c r="A605">
        <v>1141</v>
      </c>
      <c r="B605" t="s">
        <v>434</v>
      </c>
      <c r="C605" t="s">
        <v>331</v>
      </c>
      <c r="D605" t="s">
        <v>16</v>
      </c>
      <c r="E605" t="s">
        <v>31</v>
      </c>
      <c r="F605" t="s">
        <v>78</v>
      </c>
      <c r="G605">
        <v>3</v>
      </c>
      <c r="H605">
        <v>3089</v>
      </c>
      <c r="I605">
        <v>9267</v>
      </c>
    </row>
    <row r="606" spans="1:9" x14ac:dyDescent="0.3">
      <c r="A606">
        <v>1433</v>
      </c>
      <c r="B606" t="s">
        <v>237</v>
      </c>
      <c r="C606" t="s">
        <v>454</v>
      </c>
      <c r="D606" t="s">
        <v>62</v>
      </c>
      <c r="E606" t="s">
        <v>56</v>
      </c>
      <c r="F606" t="s">
        <v>112</v>
      </c>
      <c r="G606">
        <v>4</v>
      </c>
      <c r="H606">
        <v>4307</v>
      </c>
      <c r="I606">
        <v>17228</v>
      </c>
    </row>
    <row r="607" spans="1:9" x14ac:dyDescent="0.3">
      <c r="A607">
        <v>1544</v>
      </c>
      <c r="B607" t="s">
        <v>223</v>
      </c>
      <c r="C607" t="s">
        <v>197</v>
      </c>
      <c r="D607" t="s">
        <v>25</v>
      </c>
      <c r="E607" t="s">
        <v>36</v>
      </c>
      <c r="F607" t="s">
        <v>75</v>
      </c>
      <c r="G607">
        <v>2</v>
      </c>
      <c r="H607">
        <v>3950</v>
      </c>
      <c r="I607">
        <v>7900</v>
      </c>
    </row>
    <row r="608" spans="1:9" x14ac:dyDescent="0.3">
      <c r="A608">
        <v>1183</v>
      </c>
      <c r="B608" t="s">
        <v>347</v>
      </c>
      <c r="C608" t="s">
        <v>583</v>
      </c>
      <c r="D608" t="s">
        <v>30</v>
      </c>
      <c r="E608" t="s">
        <v>31</v>
      </c>
      <c r="F608" t="s">
        <v>32</v>
      </c>
      <c r="G608">
        <v>1</v>
      </c>
      <c r="H608">
        <v>1412</v>
      </c>
      <c r="I608">
        <v>1412</v>
      </c>
    </row>
    <row r="609" spans="1:9" x14ac:dyDescent="0.3">
      <c r="A609">
        <v>1533</v>
      </c>
      <c r="B609" t="s">
        <v>268</v>
      </c>
      <c r="C609" t="s">
        <v>584</v>
      </c>
      <c r="D609" t="s">
        <v>62</v>
      </c>
      <c r="E609" t="s">
        <v>12</v>
      </c>
      <c r="F609" t="s">
        <v>75</v>
      </c>
      <c r="G609">
        <v>3</v>
      </c>
      <c r="H609">
        <v>3641</v>
      </c>
      <c r="I609">
        <v>10923</v>
      </c>
    </row>
    <row r="610" spans="1:9" x14ac:dyDescent="0.3">
      <c r="A610">
        <v>1298</v>
      </c>
      <c r="B610" t="s">
        <v>517</v>
      </c>
      <c r="C610" t="s">
        <v>361</v>
      </c>
      <c r="D610" t="s">
        <v>52</v>
      </c>
      <c r="E610" t="s">
        <v>56</v>
      </c>
      <c r="F610" t="s">
        <v>93</v>
      </c>
      <c r="G610">
        <v>5</v>
      </c>
      <c r="H610">
        <v>3008</v>
      </c>
      <c r="I610">
        <v>15040</v>
      </c>
    </row>
    <row r="611" spans="1:9" x14ac:dyDescent="0.3">
      <c r="A611">
        <v>1497</v>
      </c>
      <c r="B611" t="s">
        <v>402</v>
      </c>
      <c r="C611" t="s">
        <v>103</v>
      </c>
      <c r="D611" t="s">
        <v>11</v>
      </c>
      <c r="E611" t="s">
        <v>21</v>
      </c>
      <c r="F611" t="s">
        <v>46</v>
      </c>
      <c r="G611">
        <v>3</v>
      </c>
      <c r="H611">
        <v>1606</v>
      </c>
      <c r="I611">
        <v>4818</v>
      </c>
    </row>
    <row r="612" spans="1:9" x14ac:dyDescent="0.3">
      <c r="A612">
        <v>1380</v>
      </c>
      <c r="B612" t="s">
        <v>347</v>
      </c>
      <c r="C612" t="s">
        <v>284</v>
      </c>
      <c r="D612" t="s">
        <v>30</v>
      </c>
      <c r="E612" t="s">
        <v>56</v>
      </c>
      <c r="F612" t="s">
        <v>93</v>
      </c>
      <c r="G612">
        <v>4</v>
      </c>
      <c r="H612">
        <v>1562</v>
      </c>
      <c r="I612">
        <v>6248</v>
      </c>
    </row>
    <row r="613" spans="1:9" x14ac:dyDescent="0.3">
      <c r="A613">
        <v>1548</v>
      </c>
      <c r="B613" t="s">
        <v>585</v>
      </c>
      <c r="C613" t="s">
        <v>586</v>
      </c>
      <c r="D613" t="s">
        <v>16</v>
      </c>
      <c r="E613" t="s">
        <v>39</v>
      </c>
      <c r="F613" t="s">
        <v>114</v>
      </c>
      <c r="G613">
        <v>1</v>
      </c>
      <c r="H613">
        <v>537</v>
      </c>
      <c r="I613">
        <v>537</v>
      </c>
    </row>
    <row r="614" spans="1:9" x14ac:dyDescent="0.3">
      <c r="A614">
        <v>1451</v>
      </c>
      <c r="B614" t="s">
        <v>377</v>
      </c>
      <c r="C614" t="s">
        <v>587</v>
      </c>
      <c r="D614" t="s">
        <v>35</v>
      </c>
      <c r="E614" t="s">
        <v>17</v>
      </c>
      <c r="F614" t="s">
        <v>114</v>
      </c>
      <c r="G614">
        <v>3</v>
      </c>
      <c r="H614">
        <v>1411</v>
      </c>
      <c r="I614">
        <v>4233</v>
      </c>
    </row>
    <row r="615" spans="1:9" x14ac:dyDescent="0.3">
      <c r="A615">
        <v>1166</v>
      </c>
      <c r="B615" t="s">
        <v>376</v>
      </c>
      <c r="C615" t="s">
        <v>327</v>
      </c>
      <c r="D615" t="s">
        <v>62</v>
      </c>
      <c r="E615" t="s">
        <v>92</v>
      </c>
      <c r="F615" t="s">
        <v>32</v>
      </c>
      <c r="G615">
        <v>2</v>
      </c>
      <c r="H615">
        <v>3952</v>
      </c>
      <c r="I615">
        <v>7904</v>
      </c>
    </row>
    <row r="616" spans="1:9" x14ac:dyDescent="0.3">
      <c r="A616">
        <v>1559</v>
      </c>
      <c r="B616" t="s">
        <v>205</v>
      </c>
      <c r="C616" t="s">
        <v>249</v>
      </c>
      <c r="D616" t="s">
        <v>11</v>
      </c>
      <c r="E616" t="s">
        <v>36</v>
      </c>
      <c r="F616" t="s">
        <v>75</v>
      </c>
      <c r="G616">
        <v>5</v>
      </c>
      <c r="H616">
        <v>3821</v>
      </c>
      <c r="I616">
        <v>19105</v>
      </c>
    </row>
    <row r="617" spans="1:9" x14ac:dyDescent="0.3">
      <c r="A617">
        <v>1490</v>
      </c>
      <c r="B617" t="s">
        <v>425</v>
      </c>
      <c r="C617" t="s">
        <v>146</v>
      </c>
      <c r="D617" t="s">
        <v>52</v>
      </c>
      <c r="E617" t="s">
        <v>83</v>
      </c>
      <c r="F617" t="s">
        <v>112</v>
      </c>
      <c r="G617">
        <v>5</v>
      </c>
      <c r="H617">
        <v>2005</v>
      </c>
      <c r="I617">
        <v>10025</v>
      </c>
    </row>
    <row r="618" spans="1:9" x14ac:dyDescent="0.3">
      <c r="A618">
        <v>1056</v>
      </c>
      <c r="B618" t="s">
        <v>37</v>
      </c>
      <c r="C618" t="s">
        <v>119</v>
      </c>
      <c r="D618" t="s">
        <v>30</v>
      </c>
      <c r="E618" t="s">
        <v>39</v>
      </c>
      <c r="F618" t="s">
        <v>18</v>
      </c>
      <c r="G618">
        <v>2</v>
      </c>
      <c r="H618">
        <v>384</v>
      </c>
      <c r="I618">
        <v>768</v>
      </c>
    </row>
    <row r="619" spans="1:9" x14ac:dyDescent="0.3">
      <c r="A619">
        <v>1089</v>
      </c>
      <c r="B619" t="s">
        <v>254</v>
      </c>
      <c r="C619" t="s">
        <v>404</v>
      </c>
      <c r="D619" t="s">
        <v>42</v>
      </c>
      <c r="E619" t="s">
        <v>100</v>
      </c>
      <c r="F619" t="s">
        <v>53</v>
      </c>
      <c r="G619">
        <v>3</v>
      </c>
      <c r="H619">
        <v>3456</v>
      </c>
      <c r="I619">
        <v>10368</v>
      </c>
    </row>
    <row r="620" spans="1:9" x14ac:dyDescent="0.3">
      <c r="A620">
        <v>1378</v>
      </c>
      <c r="B620" t="s">
        <v>392</v>
      </c>
      <c r="C620" t="s">
        <v>291</v>
      </c>
      <c r="D620" t="s">
        <v>35</v>
      </c>
      <c r="E620" t="s">
        <v>56</v>
      </c>
      <c r="F620" t="s">
        <v>112</v>
      </c>
      <c r="G620">
        <v>3</v>
      </c>
      <c r="H620">
        <v>3850</v>
      </c>
      <c r="I620">
        <v>11550</v>
      </c>
    </row>
    <row r="621" spans="1:9" x14ac:dyDescent="0.3">
      <c r="A621">
        <v>1454</v>
      </c>
      <c r="B621" t="s">
        <v>147</v>
      </c>
      <c r="C621" t="s">
        <v>321</v>
      </c>
      <c r="D621" t="s">
        <v>52</v>
      </c>
      <c r="E621" t="s">
        <v>49</v>
      </c>
      <c r="F621" t="s">
        <v>22</v>
      </c>
      <c r="G621">
        <v>4</v>
      </c>
      <c r="H621">
        <v>1343</v>
      </c>
      <c r="I621">
        <v>5372</v>
      </c>
    </row>
    <row r="622" spans="1:9" x14ac:dyDescent="0.3">
      <c r="A622">
        <v>1147</v>
      </c>
      <c r="B622" t="s">
        <v>183</v>
      </c>
      <c r="C622" t="s">
        <v>327</v>
      </c>
      <c r="D622" t="s">
        <v>25</v>
      </c>
      <c r="E622" t="s">
        <v>21</v>
      </c>
      <c r="F622" t="s">
        <v>67</v>
      </c>
      <c r="G622">
        <v>5</v>
      </c>
      <c r="H622">
        <v>3278</v>
      </c>
      <c r="I622">
        <v>16390</v>
      </c>
    </row>
    <row r="623" spans="1:9" x14ac:dyDescent="0.3">
      <c r="A623">
        <v>1279</v>
      </c>
      <c r="B623" t="s">
        <v>147</v>
      </c>
      <c r="C623" t="s">
        <v>588</v>
      </c>
      <c r="D623" t="s">
        <v>16</v>
      </c>
      <c r="E623" t="s">
        <v>49</v>
      </c>
      <c r="F623" t="s">
        <v>67</v>
      </c>
      <c r="G623">
        <v>2</v>
      </c>
      <c r="H623">
        <v>3327</v>
      </c>
      <c r="I623">
        <v>6654</v>
      </c>
    </row>
    <row r="624" spans="1:9" x14ac:dyDescent="0.3">
      <c r="A624">
        <v>1309</v>
      </c>
      <c r="B624" t="s">
        <v>47</v>
      </c>
      <c r="C624" t="s">
        <v>327</v>
      </c>
      <c r="D624" t="s">
        <v>16</v>
      </c>
      <c r="E624" t="s">
        <v>45</v>
      </c>
      <c r="F624" t="s">
        <v>67</v>
      </c>
      <c r="G624">
        <v>1</v>
      </c>
      <c r="H624">
        <v>220</v>
      </c>
      <c r="I624">
        <v>220</v>
      </c>
    </row>
    <row r="625" spans="1:9" x14ac:dyDescent="0.3">
      <c r="A625">
        <v>1483</v>
      </c>
      <c r="B625" t="s">
        <v>589</v>
      </c>
      <c r="C625" t="s">
        <v>130</v>
      </c>
      <c r="D625" t="s">
        <v>62</v>
      </c>
      <c r="E625" t="s">
        <v>12</v>
      </c>
      <c r="F625" t="s">
        <v>75</v>
      </c>
      <c r="G625">
        <v>2</v>
      </c>
      <c r="H625">
        <v>433</v>
      </c>
      <c r="I625">
        <v>866</v>
      </c>
    </row>
    <row r="626" spans="1:9" x14ac:dyDescent="0.3">
      <c r="A626">
        <v>1068</v>
      </c>
      <c r="B626" t="s">
        <v>573</v>
      </c>
      <c r="C626" t="s">
        <v>210</v>
      </c>
      <c r="D626" t="s">
        <v>52</v>
      </c>
      <c r="E626" t="s">
        <v>26</v>
      </c>
      <c r="F626" t="s">
        <v>133</v>
      </c>
      <c r="G626">
        <v>3</v>
      </c>
      <c r="H626">
        <v>4099</v>
      </c>
      <c r="I626">
        <v>12297</v>
      </c>
    </row>
    <row r="627" spans="1:9" x14ac:dyDescent="0.3">
      <c r="A627">
        <v>1382</v>
      </c>
      <c r="B627" t="s">
        <v>254</v>
      </c>
      <c r="C627" t="s">
        <v>539</v>
      </c>
      <c r="D627" t="s">
        <v>42</v>
      </c>
      <c r="E627" t="s">
        <v>31</v>
      </c>
      <c r="F627" t="s">
        <v>112</v>
      </c>
      <c r="G627">
        <v>2</v>
      </c>
      <c r="H627">
        <v>2818</v>
      </c>
      <c r="I627">
        <v>5636</v>
      </c>
    </row>
    <row r="628" spans="1:9" x14ac:dyDescent="0.3">
      <c r="A628">
        <v>1365</v>
      </c>
      <c r="B628" t="s">
        <v>590</v>
      </c>
      <c r="C628" t="s">
        <v>454</v>
      </c>
      <c r="D628" t="s">
        <v>35</v>
      </c>
      <c r="E628" t="s">
        <v>26</v>
      </c>
      <c r="F628" t="s">
        <v>95</v>
      </c>
      <c r="G628">
        <v>1</v>
      </c>
      <c r="H628">
        <v>2574</v>
      </c>
      <c r="I628">
        <v>2574</v>
      </c>
    </row>
    <row r="629" spans="1:9" x14ac:dyDescent="0.3">
      <c r="A629">
        <v>1078</v>
      </c>
      <c r="B629" t="s">
        <v>73</v>
      </c>
      <c r="C629" t="s">
        <v>29</v>
      </c>
      <c r="D629" t="s">
        <v>35</v>
      </c>
      <c r="E629" t="s">
        <v>39</v>
      </c>
      <c r="F629" t="s">
        <v>72</v>
      </c>
      <c r="G629">
        <v>3</v>
      </c>
      <c r="H629">
        <v>2666</v>
      </c>
      <c r="I629">
        <v>7998</v>
      </c>
    </row>
    <row r="630" spans="1:9" x14ac:dyDescent="0.3">
      <c r="A630">
        <v>1371</v>
      </c>
      <c r="B630" t="s">
        <v>591</v>
      </c>
      <c r="C630" t="s">
        <v>286</v>
      </c>
      <c r="D630" t="s">
        <v>11</v>
      </c>
      <c r="E630" t="s">
        <v>89</v>
      </c>
      <c r="F630" t="s">
        <v>13</v>
      </c>
      <c r="G630">
        <v>5</v>
      </c>
      <c r="H630">
        <v>2505</v>
      </c>
      <c r="I630">
        <v>12525</v>
      </c>
    </row>
    <row r="631" spans="1:9" x14ac:dyDescent="0.3">
      <c r="A631">
        <v>1348</v>
      </c>
      <c r="B631" t="s">
        <v>590</v>
      </c>
      <c r="C631" t="s">
        <v>267</v>
      </c>
      <c r="D631" t="s">
        <v>16</v>
      </c>
      <c r="E631" t="s">
        <v>39</v>
      </c>
      <c r="F631" t="s">
        <v>114</v>
      </c>
      <c r="G631">
        <v>5</v>
      </c>
      <c r="H631">
        <v>4506</v>
      </c>
      <c r="I631">
        <v>22530</v>
      </c>
    </row>
    <row r="632" spans="1:9" x14ac:dyDescent="0.3">
      <c r="A632">
        <v>1116</v>
      </c>
      <c r="B632" t="s">
        <v>577</v>
      </c>
      <c r="C632" t="s">
        <v>243</v>
      </c>
      <c r="D632" t="s">
        <v>42</v>
      </c>
      <c r="E632" t="s">
        <v>31</v>
      </c>
      <c r="F632" t="s">
        <v>32</v>
      </c>
      <c r="G632">
        <v>4</v>
      </c>
      <c r="H632">
        <v>3052</v>
      </c>
      <c r="I632">
        <v>12208</v>
      </c>
    </row>
    <row r="633" spans="1:9" x14ac:dyDescent="0.3">
      <c r="A633">
        <v>1452</v>
      </c>
      <c r="B633" t="s">
        <v>341</v>
      </c>
      <c r="C633" t="s">
        <v>488</v>
      </c>
      <c r="D633" t="s">
        <v>42</v>
      </c>
      <c r="E633" t="s">
        <v>36</v>
      </c>
      <c r="F633" t="s">
        <v>13</v>
      </c>
      <c r="G633">
        <v>1</v>
      </c>
      <c r="H633">
        <v>2021</v>
      </c>
      <c r="I633">
        <v>2021</v>
      </c>
    </row>
    <row r="634" spans="1:9" x14ac:dyDescent="0.3">
      <c r="A634">
        <v>1232</v>
      </c>
      <c r="B634" t="s">
        <v>188</v>
      </c>
      <c r="C634" t="s">
        <v>311</v>
      </c>
      <c r="D634" t="s">
        <v>52</v>
      </c>
      <c r="E634" t="s">
        <v>17</v>
      </c>
      <c r="G634">
        <v>1</v>
      </c>
      <c r="H634">
        <v>836</v>
      </c>
      <c r="I634">
        <v>836</v>
      </c>
    </row>
    <row r="635" spans="1:9" x14ac:dyDescent="0.3">
      <c r="A635">
        <v>1441</v>
      </c>
      <c r="B635" t="s">
        <v>302</v>
      </c>
      <c r="C635" t="s">
        <v>592</v>
      </c>
      <c r="D635" t="s">
        <v>62</v>
      </c>
      <c r="E635" t="s">
        <v>83</v>
      </c>
      <c r="F635" t="s">
        <v>32</v>
      </c>
      <c r="G635">
        <v>1</v>
      </c>
      <c r="H635">
        <v>2272</v>
      </c>
      <c r="I635">
        <v>2272</v>
      </c>
    </row>
    <row r="636" spans="1:9" x14ac:dyDescent="0.3">
      <c r="A636">
        <v>1010</v>
      </c>
      <c r="B636" t="s">
        <v>591</v>
      </c>
      <c r="C636" t="s">
        <v>214</v>
      </c>
      <c r="D636" t="s">
        <v>16</v>
      </c>
      <c r="E636" t="s">
        <v>31</v>
      </c>
      <c r="F636" t="s">
        <v>57</v>
      </c>
      <c r="G636">
        <v>2</v>
      </c>
      <c r="H636">
        <v>3079</v>
      </c>
      <c r="I636">
        <v>6158</v>
      </c>
    </row>
    <row r="637" spans="1:9" x14ac:dyDescent="0.3">
      <c r="A637">
        <v>1284</v>
      </c>
      <c r="B637" t="s">
        <v>593</v>
      </c>
      <c r="C637" t="s">
        <v>400</v>
      </c>
      <c r="D637" t="s">
        <v>25</v>
      </c>
      <c r="E637" t="s">
        <v>12</v>
      </c>
      <c r="F637" t="s">
        <v>13</v>
      </c>
      <c r="G637">
        <v>1</v>
      </c>
      <c r="H637">
        <v>4936</v>
      </c>
      <c r="I637">
        <v>4936</v>
      </c>
    </row>
    <row r="638" spans="1:9" x14ac:dyDescent="0.3">
      <c r="A638">
        <v>1196</v>
      </c>
      <c r="B638" t="s">
        <v>275</v>
      </c>
      <c r="C638" t="s">
        <v>385</v>
      </c>
      <c r="D638" t="s">
        <v>62</v>
      </c>
      <c r="E638" t="s">
        <v>31</v>
      </c>
      <c r="F638" t="s">
        <v>32</v>
      </c>
      <c r="G638">
        <v>3</v>
      </c>
      <c r="H638">
        <v>1716</v>
      </c>
      <c r="I638">
        <v>5148</v>
      </c>
    </row>
    <row r="639" spans="1:9" x14ac:dyDescent="0.3">
      <c r="A639">
        <v>1185</v>
      </c>
      <c r="B639" t="s">
        <v>383</v>
      </c>
      <c r="C639" t="s">
        <v>182</v>
      </c>
      <c r="D639" t="s">
        <v>52</v>
      </c>
      <c r="E639" t="s">
        <v>49</v>
      </c>
      <c r="F639" t="s">
        <v>128</v>
      </c>
      <c r="G639">
        <v>1</v>
      </c>
      <c r="H639">
        <v>2774</v>
      </c>
      <c r="I639">
        <v>2774</v>
      </c>
    </row>
    <row r="640" spans="1:9" x14ac:dyDescent="0.3">
      <c r="A640">
        <v>1139</v>
      </c>
      <c r="B640" t="s">
        <v>334</v>
      </c>
      <c r="C640" t="s">
        <v>59</v>
      </c>
      <c r="D640" t="s">
        <v>25</v>
      </c>
      <c r="E640" t="s">
        <v>89</v>
      </c>
      <c r="F640" t="s">
        <v>95</v>
      </c>
      <c r="G640">
        <v>3</v>
      </c>
      <c r="H640">
        <v>4244</v>
      </c>
      <c r="I640">
        <v>12732</v>
      </c>
    </row>
    <row r="641" spans="1:9" x14ac:dyDescent="0.3">
      <c r="A641">
        <v>1319</v>
      </c>
      <c r="B641" t="s">
        <v>594</v>
      </c>
      <c r="C641" t="s">
        <v>305</v>
      </c>
      <c r="D641" t="s">
        <v>30</v>
      </c>
      <c r="E641" t="s">
        <v>45</v>
      </c>
      <c r="F641" t="s">
        <v>128</v>
      </c>
      <c r="G641">
        <v>4</v>
      </c>
      <c r="H641">
        <v>1746</v>
      </c>
      <c r="I641">
        <v>6984</v>
      </c>
    </row>
    <row r="642" spans="1:9" x14ac:dyDescent="0.3">
      <c r="A642">
        <v>1487</v>
      </c>
      <c r="B642" t="s">
        <v>223</v>
      </c>
      <c r="C642" t="s">
        <v>587</v>
      </c>
      <c r="D642" t="s">
        <v>25</v>
      </c>
      <c r="E642" t="s">
        <v>140</v>
      </c>
      <c r="F642" t="s">
        <v>72</v>
      </c>
      <c r="G642">
        <v>4</v>
      </c>
      <c r="H642">
        <v>3788</v>
      </c>
      <c r="I642">
        <v>15152</v>
      </c>
    </row>
    <row r="643" spans="1:9" x14ac:dyDescent="0.3">
      <c r="A643">
        <v>1122</v>
      </c>
      <c r="B643" t="s">
        <v>219</v>
      </c>
      <c r="C643" t="s">
        <v>260</v>
      </c>
      <c r="D643" t="s">
        <v>11</v>
      </c>
      <c r="E643" t="s">
        <v>136</v>
      </c>
      <c r="F643" t="s">
        <v>67</v>
      </c>
      <c r="G643">
        <v>1</v>
      </c>
      <c r="H643">
        <v>3179</v>
      </c>
      <c r="I643">
        <v>3179</v>
      </c>
    </row>
    <row r="644" spans="1:9" x14ac:dyDescent="0.3">
      <c r="A644">
        <v>1413</v>
      </c>
      <c r="B644" t="s">
        <v>574</v>
      </c>
      <c r="C644" t="s">
        <v>173</v>
      </c>
      <c r="D644" t="s">
        <v>30</v>
      </c>
      <c r="E644" t="s">
        <v>21</v>
      </c>
      <c r="F644" t="s">
        <v>46</v>
      </c>
      <c r="G644">
        <v>4</v>
      </c>
      <c r="H644">
        <v>3117</v>
      </c>
      <c r="I644">
        <v>12468</v>
      </c>
    </row>
    <row r="645" spans="1:9" x14ac:dyDescent="0.3">
      <c r="A645">
        <v>1414</v>
      </c>
      <c r="B645" t="s">
        <v>408</v>
      </c>
      <c r="C645" t="s">
        <v>319</v>
      </c>
      <c r="D645" t="s">
        <v>25</v>
      </c>
      <c r="E645" t="s">
        <v>26</v>
      </c>
      <c r="F645" t="s">
        <v>13</v>
      </c>
      <c r="G645">
        <v>1</v>
      </c>
      <c r="H645">
        <v>2253</v>
      </c>
      <c r="I645">
        <v>2253</v>
      </c>
    </row>
    <row r="646" spans="1:9" x14ac:dyDescent="0.3">
      <c r="A646">
        <v>1137</v>
      </c>
      <c r="B646" t="s">
        <v>595</v>
      </c>
      <c r="C646" t="s">
        <v>449</v>
      </c>
      <c r="D646" t="s">
        <v>42</v>
      </c>
      <c r="E646" t="s">
        <v>92</v>
      </c>
      <c r="F646" t="s">
        <v>32</v>
      </c>
      <c r="G646">
        <v>2</v>
      </c>
      <c r="H646">
        <v>3334</v>
      </c>
      <c r="I646">
        <v>6668</v>
      </c>
    </row>
    <row r="647" spans="1:9" x14ac:dyDescent="0.3">
      <c r="A647">
        <v>1310</v>
      </c>
      <c r="B647" t="s">
        <v>596</v>
      </c>
      <c r="C647" t="s">
        <v>477</v>
      </c>
      <c r="D647" t="s">
        <v>62</v>
      </c>
      <c r="E647" t="s">
        <v>92</v>
      </c>
      <c r="F647" t="s">
        <v>32</v>
      </c>
      <c r="G647">
        <v>2</v>
      </c>
      <c r="H647">
        <v>2604</v>
      </c>
      <c r="I647">
        <v>5208</v>
      </c>
    </row>
    <row r="648" spans="1:9" x14ac:dyDescent="0.3">
      <c r="A648">
        <v>1267</v>
      </c>
      <c r="B648" t="s">
        <v>215</v>
      </c>
      <c r="C648" t="s">
        <v>162</v>
      </c>
      <c r="D648" t="s">
        <v>25</v>
      </c>
      <c r="E648" t="s">
        <v>92</v>
      </c>
      <c r="F648" t="s">
        <v>32</v>
      </c>
      <c r="G648">
        <v>4</v>
      </c>
      <c r="H648">
        <v>3887</v>
      </c>
      <c r="I648">
        <v>15548</v>
      </c>
    </row>
    <row r="649" spans="1:9" x14ac:dyDescent="0.3">
      <c r="A649">
        <v>1470</v>
      </c>
      <c r="B649" t="s">
        <v>597</v>
      </c>
      <c r="C649" t="s">
        <v>598</v>
      </c>
      <c r="D649" t="s">
        <v>11</v>
      </c>
      <c r="E649" t="s">
        <v>100</v>
      </c>
      <c r="F649" t="s">
        <v>18</v>
      </c>
      <c r="G649">
        <v>4</v>
      </c>
      <c r="H649">
        <v>3728</v>
      </c>
      <c r="I649">
        <v>14912</v>
      </c>
    </row>
    <row r="650" spans="1:9" x14ac:dyDescent="0.3">
      <c r="A650">
        <v>1499</v>
      </c>
      <c r="B650" t="s">
        <v>568</v>
      </c>
      <c r="C650" t="s">
        <v>460</v>
      </c>
      <c r="D650" t="s">
        <v>62</v>
      </c>
      <c r="E650" t="s">
        <v>45</v>
      </c>
      <c r="F650" t="s">
        <v>67</v>
      </c>
      <c r="G650">
        <v>5</v>
      </c>
      <c r="H650">
        <v>1480</v>
      </c>
      <c r="I650">
        <v>7400</v>
      </c>
    </row>
    <row r="651" spans="1:9" x14ac:dyDescent="0.3">
      <c r="A651">
        <v>1506</v>
      </c>
      <c r="B651" t="s">
        <v>447</v>
      </c>
      <c r="C651" t="s">
        <v>534</v>
      </c>
      <c r="D651" t="s">
        <v>30</v>
      </c>
      <c r="E651" t="s">
        <v>21</v>
      </c>
      <c r="F651" t="s">
        <v>67</v>
      </c>
      <c r="G651">
        <v>3</v>
      </c>
      <c r="H651">
        <v>703</v>
      </c>
      <c r="I651">
        <v>2109</v>
      </c>
    </row>
    <row r="652" spans="1:9" x14ac:dyDescent="0.3">
      <c r="A652">
        <v>1375</v>
      </c>
      <c r="B652" t="s">
        <v>599</v>
      </c>
      <c r="C652" t="s">
        <v>368</v>
      </c>
      <c r="D652" t="s">
        <v>25</v>
      </c>
      <c r="E652" t="s">
        <v>92</v>
      </c>
      <c r="F652" t="s">
        <v>112</v>
      </c>
      <c r="G652">
        <v>4</v>
      </c>
      <c r="H652">
        <v>3027</v>
      </c>
      <c r="I652">
        <v>12108</v>
      </c>
    </row>
    <row r="653" spans="1:9" x14ac:dyDescent="0.3">
      <c r="A653">
        <v>1057</v>
      </c>
      <c r="B653" t="s">
        <v>468</v>
      </c>
      <c r="C653" t="s">
        <v>135</v>
      </c>
      <c r="D653" t="s">
        <v>25</v>
      </c>
      <c r="E653" t="s">
        <v>100</v>
      </c>
      <c r="F653" t="s">
        <v>114</v>
      </c>
      <c r="G653">
        <v>1</v>
      </c>
      <c r="H653">
        <v>2697</v>
      </c>
      <c r="I653">
        <v>2697</v>
      </c>
    </row>
    <row r="654" spans="1:9" x14ac:dyDescent="0.3">
      <c r="A654">
        <v>1551</v>
      </c>
      <c r="B654" t="s">
        <v>459</v>
      </c>
      <c r="C654" t="s">
        <v>216</v>
      </c>
      <c r="D654" t="s">
        <v>30</v>
      </c>
      <c r="E654" t="s">
        <v>45</v>
      </c>
      <c r="F654" t="s">
        <v>46</v>
      </c>
      <c r="G654">
        <v>1</v>
      </c>
      <c r="H654">
        <v>4047</v>
      </c>
      <c r="I654">
        <v>4047</v>
      </c>
    </row>
    <row r="655" spans="1:9" x14ac:dyDescent="0.3">
      <c r="A655">
        <v>1386</v>
      </c>
      <c r="B655" t="s">
        <v>297</v>
      </c>
      <c r="C655" t="s">
        <v>276</v>
      </c>
      <c r="D655" t="s">
        <v>62</v>
      </c>
      <c r="E655" t="s">
        <v>89</v>
      </c>
      <c r="F655" t="s">
        <v>133</v>
      </c>
      <c r="G655">
        <v>1</v>
      </c>
      <c r="H655">
        <v>1886</v>
      </c>
      <c r="I655">
        <v>1886</v>
      </c>
    </row>
    <row r="656" spans="1:9" x14ac:dyDescent="0.3">
      <c r="A656">
        <v>1347</v>
      </c>
      <c r="B656" t="s">
        <v>84</v>
      </c>
      <c r="C656" t="s">
        <v>350</v>
      </c>
      <c r="D656" t="s">
        <v>16</v>
      </c>
      <c r="E656" t="s">
        <v>26</v>
      </c>
      <c r="F656" t="s">
        <v>95</v>
      </c>
      <c r="G656">
        <v>4</v>
      </c>
      <c r="H656">
        <v>817</v>
      </c>
      <c r="I656">
        <v>3268</v>
      </c>
    </row>
    <row r="657" spans="1:9" x14ac:dyDescent="0.3">
      <c r="A657">
        <v>1294</v>
      </c>
      <c r="B657" t="s">
        <v>186</v>
      </c>
      <c r="C657" t="s">
        <v>485</v>
      </c>
      <c r="D657" t="s">
        <v>16</v>
      </c>
      <c r="E657" t="s">
        <v>26</v>
      </c>
      <c r="F657" t="s">
        <v>133</v>
      </c>
      <c r="G657">
        <v>5</v>
      </c>
      <c r="H657">
        <v>953</v>
      </c>
      <c r="I657">
        <v>4765</v>
      </c>
    </row>
    <row r="658" spans="1:9" x14ac:dyDescent="0.3">
      <c r="A658">
        <v>1344</v>
      </c>
      <c r="B658" t="s">
        <v>600</v>
      </c>
      <c r="C658" t="s">
        <v>91</v>
      </c>
      <c r="D658" t="s">
        <v>35</v>
      </c>
      <c r="E658" t="s">
        <v>49</v>
      </c>
      <c r="F658" t="s">
        <v>46</v>
      </c>
      <c r="G658">
        <v>1</v>
      </c>
      <c r="H658">
        <v>2672</v>
      </c>
      <c r="I658">
        <v>2672</v>
      </c>
    </row>
    <row r="659" spans="1:9" x14ac:dyDescent="0.3">
      <c r="A659">
        <v>1552</v>
      </c>
      <c r="B659" t="s">
        <v>344</v>
      </c>
      <c r="C659" t="s">
        <v>432</v>
      </c>
      <c r="D659" t="s">
        <v>62</v>
      </c>
      <c r="E659" t="s">
        <v>21</v>
      </c>
      <c r="F659" t="s">
        <v>46</v>
      </c>
      <c r="G659">
        <v>5</v>
      </c>
      <c r="H659">
        <v>1679</v>
      </c>
      <c r="I659">
        <v>8395</v>
      </c>
    </row>
    <row r="660" spans="1:9" x14ac:dyDescent="0.3">
      <c r="A660">
        <v>1528</v>
      </c>
      <c r="B660" t="s">
        <v>90</v>
      </c>
      <c r="C660" t="s">
        <v>526</v>
      </c>
      <c r="D660" t="s">
        <v>30</v>
      </c>
      <c r="E660" t="s">
        <v>45</v>
      </c>
      <c r="F660" t="s">
        <v>128</v>
      </c>
      <c r="G660">
        <v>5</v>
      </c>
      <c r="H660">
        <v>3753</v>
      </c>
      <c r="I660">
        <v>18765</v>
      </c>
    </row>
    <row r="661" spans="1:9" x14ac:dyDescent="0.3">
      <c r="A661">
        <v>1061</v>
      </c>
      <c r="B661" t="s">
        <v>181</v>
      </c>
      <c r="C661" t="s">
        <v>432</v>
      </c>
      <c r="D661" t="s">
        <v>16</v>
      </c>
      <c r="E661" t="s">
        <v>12</v>
      </c>
      <c r="F661" t="s">
        <v>75</v>
      </c>
      <c r="G661">
        <v>2</v>
      </c>
      <c r="H661">
        <v>2659</v>
      </c>
      <c r="I661">
        <v>5318</v>
      </c>
    </row>
    <row r="662" spans="1:9" x14ac:dyDescent="0.3">
      <c r="A662">
        <v>1065</v>
      </c>
      <c r="B662" t="s">
        <v>509</v>
      </c>
      <c r="C662" t="s">
        <v>236</v>
      </c>
      <c r="D662" t="s">
        <v>11</v>
      </c>
      <c r="E662" t="s">
        <v>21</v>
      </c>
      <c r="F662" t="s">
        <v>22</v>
      </c>
      <c r="G662">
        <v>3</v>
      </c>
      <c r="H662">
        <v>2134</v>
      </c>
      <c r="I662">
        <v>6402</v>
      </c>
    </row>
    <row r="663" spans="1:9" x14ac:dyDescent="0.3">
      <c r="A663">
        <v>1196</v>
      </c>
      <c r="B663" t="s">
        <v>601</v>
      </c>
      <c r="C663" t="s">
        <v>135</v>
      </c>
      <c r="D663" t="s">
        <v>52</v>
      </c>
      <c r="E663" t="s">
        <v>26</v>
      </c>
      <c r="F663" t="s">
        <v>75</v>
      </c>
      <c r="G663">
        <v>4</v>
      </c>
      <c r="H663">
        <v>503</v>
      </c>
      <c r="I663">
        <v>2012</v>
      </c>
    </row>
    <row r="664" spans="1:9" x14ac:dyDescent="0.3">
      <c r="A664">
        <v>1029</v>
      </c>
      <c r="B664" t="s">
        <v>428</v>
      </c>
      <c r="C664" t="s">
        <v>420</v>
      </c>
      <c r="D664" t="s">
        <v>42</v>
      </c>
      <c r="E664" t="s">
        <v>12</v>
      </c>
      <c r="F664" t="s">
        <v>133</v>
      </c>
      <c r="G664">
        <v>4</v>
      </c>
      <c r="H664">
        <v>363</v>
      </c>
      <c r="I664">
        <v>1452</v>
      </c>
    </row>
    <row r="665" spans="1:9" x14ac:dyDescent="0.3">
      <c r="A665">
        <v>1321</v>
      </c>
      <c r="B665" t="s">
        <v>307</v>
      </c>
      <c r="C665" t="s">
        <v>532</v>
      </c>
      <c r="D665" t="s">
        <v>25</v>
      </c>
      <c r="E665" t="s">
        <v>56</v>
      </c>
      <c r="F665" t="s">
        <v>78</v>
      </c>
      <c r="G665">
        <v>4</v>
      </c>
      <c r="H665">
        <v>1351</v>
      </c>
      <c r="I665">
        <v>5404</v>
      </c>
    </row>
    <row r="666" spans="1:9" x14ac:dyDescent="0.3">
      <c r="A666">
        <v>1512</v>
      </c>
      <c r="B666" t="s">
        <v>535</v>
      </c>
      <c r="C666" t="s">
        <v>488</v>
      </c>
      <c r="D666" t="s">
        <v>16</v>
      </c>
      <c r="E666" t="s">
        <v>89</v>
      </c>
      <c r="F666" t="s">
        <v>75</v>
      </c>
      <c r="G666">
        <v>5</v>
      </c>
      <c r="H666">
        <v>1201</v>
      </c>
      <c r="I666">
        <v>6005</v>
      </c>
    </row>
    <row r="667" spans="1:9" x14ac:dyDescent="0.3">
      <c r="A667">
        <v>1598</v>
      </c>
      <c r="B667" t="s">
        <v>149</v>
      </c>
      <c r="C667" t="s">
        <v>251</v>
      </c>
      <c r="D667" t="s">
        <v>11</v>
      </c>
      <c r="E667" t="s">
        <v>39</v>
      </c>
      <c r="F667" t="s">
        <v>53</v>
      </c>
      <c r="G667">
        <v>1</v>
      </c>
      <c r="H667">
        <v>1634</v>
      </c>
      <c r="I667">
        <v>1634</v>
      </c>
    </row>
    <row r="668" spans="1:9" x14ac:dyDescent="0.3">
      <c r="A668">
        <v>1418</v>
      </c>
      <c r="B668" t="s">
        <v>122</v>
      </c>
      <c r="C668" t="s">
        <v>424</v>
      </c>
      <c r="D668" t="s">
        <v>25</v>
      </c>
      <c r="E668" t="s">
        <v>56</v>
      </c>
      <c r="F668" t="s">
        <v>78</v>
      </c>
      <c r="G668">
        <v>3</v>
      </c>
      <c r="H668">
        <v>4670</v>
      </c>
      <c r="I668">
        <v>14010</v>
      </c>
    </row>
    <row r="669" spans="1:9" x14ac:dyDescent="0.3">
      <c r="A669">
        <v>1284</v>
      </c>
      <c r="B669" t="s">
        <v>602</v>
      </c>
      <c r="C669" t="s">
        <v>512</v>
      </c>
      <c r="D669" t="s">
        <v>42</v>
      </c>
      <c r="E669" t="s">
        <v>21</v>
      </c>
      <c r="F669" t="s">
        <v>22</v>
      </c>
      <c r="G669">
        <v>5</v>
      </c>
      <c r="H669">
        <v>485</v>
      </c>
      <c r="I669">
        <v>2425</v>
      </c>
    </row>
    <row r="670" spans="1:9" x14ac:dyDescent="0.3">
      <c r="A670">
        <v>1055</v>
      </c>
      <c r="B670" t="s">
        <v>421</v>
      </c>
      <c r="C670" t="s">
        <v>316</v>
      </c>
      <c r="D670" t="s">
        <v>30</v>
      </c>
      <c r="E670" t="s">
        <v>140</v>
      </c>
      <c r="F670" t="s">
        <v>101</v>
      </c>
      <c r="G670">
        <v>3</v>
      </c>
      <c r="H670">
        <v>1199</v>
      </c>
      <c r="I670">
        <v>3597</v>
      </c>
    </row>
    <row r="671" spans="1:9" x14ac:dyDescent="0.3">
      <c r="A671">
        <v>1453</v>
      </c>
      <c r="B671" t="s">
        <v>423</v>
      </c>
      <c r="C671" t="s">
        <v>530</v>
      </c>
      <c r="D671" t="s">
        <v>25</v>
      </c>
      <c r="E671" t="s">
        <v>21</v>
      </c>
      <c r="F671" t="s">
        <v>22</v>
      </c>
      <c r="G671">
        <v>2</v>
      </c>
      <c r="H671">
        <v>2636</v>
      </c>
      <c r="I671">
        <v>5272</v>
      </c>
    </row>
    <row r="672" spans="1:9" x14ac:dyDescent="0.3">
      <c r="A672">
        <v>1449</v>
      </c>
      <c r="B672" t="s">
        <v>603</v>
      </c>
      <c r="C672" t="s">
        <v>372</v>
      </c>
      <c r="D672" t="s">
        <v>25</v>
      </c>
      <c r="E672" t="s">
        <v>21</v>
      </c>
      <c r="F672" t="s">
        <v>124</v>
      </c>
      <c r="G672">
        <v>4</v>
      </c>
      <c r="H672">
        <v>4059</v>
      </c>
      <c r="I672">
        <v>16236</v>
      </c>
    </row>
    <row r="673" spans="1:9" x14ac:dyDescent="0.3">
      <c r="A673">
        <v>1340</v>
      </c>
      <c r="B673" t="s">
        <v>466</v>
      </c>
      <c r="C673" t="s">
        <v>324</v>
      </c>
      <c r="D673" t="s">
        <v>25</v>
      </c>
      <c r="E673" t="s">
        <v>56</v>
      </c>
      <c r="F673" t="s">
        <v>93</v>
      </c>
      <c r="G673">
        <v>3</v>
      </c>
      <c r="H673">
        <v>3647</v>
      </c>
      <c r="I673">
        <v>10941</v>
      </c>
    </row>
    <row r="674" spans="1:9" x14ac:dyDescent="0.3">
      <c r="A674">
        <v>1334</v>
      </c>
      <c r="B674" t="s">
        <v>86</v>
      </c>
      <c r="C674" t="s">
        <v>547</v>
      </c>
      <c r="D674" t="s">
        <v>62</v>
      </c>
      <c r="E674" t="s">
        <v>31</v>
      </c>
      <c r="F674" t="s">
        <v>32</v>
      </c>
      <c r="G674">
        <v>2</v>
      </c>
      <c r="H674">
        <v>225</v>
      </c>
      <c r="I674">
        <v>450</v>
      </c>
    </row>
    <row r="675" spans="1:9" x14ac:dyDescent="0.3">
      <c r="A675">
        <v>1321</v>
      </c>
      <c r="B675" t="s">
        <v>520</v>
      </c>
      <c r="C675" t="s">
        <v>132</v>
      </c>
      <c r="D675" t="s">
        <v>11</v>
      </c>
      <c r="E675" t="s">
        <v>31</v>
      </c>
      <c r="F675" t="s">
        <v>93</v>
      </c>
      <c r="G675">
        <v>5</v>
      </c>
      <c r="H675">
        <v>3561</v>
      </c>
      <c r="I675">
        <v>17805</v>
      </c>
    </row>
    <row r="676" spans="1:9" x14ac:dyDescent="0.3">
      <c r="A676">
        <v>1489</v>
      </c>
      <c r="B676" t="s">
        <v>604</v>
      </c>
      <c r="C676" t="s">
        <v>481</v>
      </c>
      <c r="D676" t="s">
        <v>30</v>
      </c>
      <c r="E676" t="s">
        <v>100</v>
      </c>
      <c r="F676" t="s">
        <v>18</v>
      </c>
      <c r="G676">
        <v>2</v>
      </c>
      <c r="H676">
        <v>891</v>
      </c>
      <c r="I676">
        <v>1782</v>
      </c>
    </row>
    <row r="677" spans="1:9" x14ac:dyDescent="0.3">
      <c r="A677">
        <v>1386</v>
      </c>
      <c r="B677" t="s">
        <v>297</v>
      </c>
      <c r="C677" t="s">
        <v>326</v>
      </c>
      <c r="D677" t="s">
        <v>25</v>
      </c>
      <c r="E677" t="s">
        <v>31</v>
      </c>
      <c r="F677" t="s">
        <v>32</v>
      </c>
      <c r="G677">
        <v>4</v>
      </c>
      <c r="H677">
        <v>1824</v>
      </c>
      <c r="I677">
        <v>7296</v>
      </c>
    </row>
    <row r="678" spans="1:9" x14ac:dyDescent="0.3">
      <c r="A678">
        <v>1050</v>
      </c>
      <c r="B678" t="s">
        <v>355</v>
      </c>
      <c r="C678" t="s">
        <v>495</v>
      </c>
      <c r="D678" t="s">
        <v>11</v>
      </c>
      <c r="E678" t="s">
        <v>21</v>
      </c>
      <c r="F678" t="s">
        <v>67</v>
      </c>
      <c r="G678">
        <v>1</v>
      </c>
      <c r="H678">
        <v>3214</v>
      </c>
      <c r="I678">
        <v>3214</v>
      </c>
    </row>
    <row r="679" spans="1:9" x14ac:dyDescent="0.3">
      <c r="A679">
        <v>1014</v>
      </c>
      <c r="B679" t="s">
        <v>558</v>
      </c>
      <c r="C679" t="s">
        <v>194</v>
      </c>
      <c r="D679" t="s">
        <v>16</v>
      </c>
      <c r="E679" t="s">
        <v>136</v>
      </c>
      <c r="F679" t="s">
        <v>46</v>
      </c>
      <c r="G679">
        <v>2</v>
      </c>
      <c r="H679">
        <v>1760</v>
      </c>
      <c r="I679">
        <v>3520</v>
      </c>
    </row>
    <row r="680" spans="1:9" x14ac:dyDescent="0.3">
      <c r="A680">
        <v>1272</v>
      </c>
      <c r="B680" t="s">
        <v>347</v>
      </c>
      <c r="C680" t="s">
        <v>88</v>
      </c>
      <c r="D680" t="s">
        <v>52</v>
      </c>
      <c r="E680" t="s">
        <v>49</v>
      </c>
      <c r="F680" t="s">
        <v>46</v>
      </c>
      <c r="G680">
        <v>2</v>
      </c>
      <c r="H680">
        <v>1965</v>
      </c>
      <c r="I680">
        <v>3930</v>
      </c>
    </row>
    <row r="681" spans="1:9" x14ac:dyDescent="0.3">
      <c r="A681">
        <v>1193</v>
      </c>
      <c r="B681" t="s">
        <v>94</v>
      </c>
      <c r="C681" t="s">
        <v>586</v>
      </c>
      <c r="D681" t="s">
        <v>30</v>
      </c>
      <c r="E681" t="s">
        <v>136</v>
      </c>
      <c r="F681" t="s">
        <v>128</v>
      </c>
      <c r="G681">
        <v>3</v>
      </c>
      <c r="H681">
        <v>2129</v>
      </c>
      <c r="I681">
        <v>6387</v>
      </c>
    </row>
    <row r="682" spans="1:9" x14ac:dyDescent="0.3">
      <c r="A682">
        <v>1378</v>
      </c>
      <c r="B682" t="s">
        <v>358</v>
      </c>
      <c r="C682" t="s">
        <v>41</v>
      </c>
      <c r="D682" t="s">
        <v>62</v>
      </c>
      <c r="E682" t="s">
        <v>136</v>
      </c>
      <c r="F682" t="s">
        <v>124</v>
      </c>
      <c r="G682">
        <v>2</v>
      </c>
      <c r="H682">
        <v>2848</v>
      </c>
      <c r="I682">
        <v>5696</v>
      </c>
    </row>
    <row r="683" spans="1:9" x14ac:dyDescent="0.3">
      <c r="A683">
        <v>1217</v>
      </c>
      <c r="B683" t="s">
        <v>68</v>
      </c>
      <c r="C683" t="s">
        <v>422</v>
      </c>
      <c r="D683" t="s">
        <v>25</v>
      </c>
      <c r="E683" t="s">
        <v>21</v>
      </c>
      <c r="F683" t="s">
        <v>67</v>
      </c>
      <c r="G683">
        <v>1</v>
      </c>
      <c r="H683">
        <v>4762</v>
      </c>
      <c r="I683">
        <v>4762</v>
      </c>
    </row>
    <row r="684" spans="1:9" x14ac:dyDescent="0.3">
      <c r="A684">
        <v>1240</v>
      </c>
      <c r="B684" t="s">
        <v>605</v>
      </c>
      <c r="C684" t="s">
        <v>274</v>
      </c>
      <c r="D684" t="s">
        <v>42</v>
      </c>
      <c r="E684" t="s">
        <v>89</v>
      </c>
      <c r="F684" t="s">
        <v>133</v>
      </c>
      <c r="G684">
        <v>3</v>
      </c>
      <c r="H684">
        <v>4333</v>
      </c>
      <c r="I684">
        <v>12999</v>
      </c>
    </row>
    <row r="685" spans="1:9" x14ac:dyDescent="0.3">
      <c r="A685">
        <v>1404</v>
      </c>
      <c r="B685" t="s">
        <v>564</v>
      </c>
      <c r="C685" t="s">
        <v>587</v>
      </c>
      <c r="D685" t="s">
        <v>11</v>
      </c>
      <c r="E685" t="s">
        <v>17</v>
      </c>
      <c r="F685" t="s">
        <v>18</v>
      </c>
      <c r="G685">
        <v>3</v>
      </c>
      <c r="H685">
        <v>1591</v>
      </c>
      <c r="I685">
        <v>4773</v>
      </c>
    </row>
    <row r="686" spans="1:9" x14ac:dyDescent="0.3">
      <c r="A686">
        <v>1479</v>
      </c>
      <c r="B686" t="s">
        <v>606</v>
      </c>
      <c r="C686" t="s">
        <v>501</v>
      </c>
      <c r="D686" t="s">
        <v>11</v>
      </c>
      <c r="E686" t="s">
        <v>26</v>
      </c>
      <c r="F686" t="s">
        <v>133</v>
      </c>
      <c r="G686">
        <v>3</v>
      </c>
      <c r="H686">
        <v>1157</v>
      </c>
      <c r="I686">
        <v>3471</v>
      </c>
    </row>
    <row r="687" spans="1:9" x14ac:dyDescent="0.3">
      <c r="A687">
        <v>1511</v>
      </c>
      <c r="B687" t="s">
        <v>336</v>
      </c>
      <c r="C687" t="s">
        <v>88</v>
      </c>
      <c r="D687" t="s">
        <v>30</v>
      </c>
      <c r="E687" t="s">
        <v>36</v>
      </c>
      <c r="F687" t="s">
        <v>75</v>
      </c>
      <c r="G687">
        <v>5</v>
      </c>
      <c r="H687">
        <v>2360</v>
      </c>
      <c r="I687">
        <v>11800</v>
      </c>
    </row>
    <row r="688" spans="1:9" x14ac:dyDescent="0.3">
      <c r="A688">
        <v>1168</v>
      </c>
      <c r="B688" t="s">
        <v>43</v>
      </c>
      <c r="C688" t="s">
        <v>314</v>
      </c>
      <c r="D688" t="s">
        <v>42</v>
      </c>
      <c r="E688" t="s">
        <v>45</v>
      </c>
      <c r="F688" t="s">
        <v>128</v>
      </c>
      <c r="G688">
        <v>2</v>
      </c>
      <c r="H688">
        <v>1417</v>
      </c>
      <c r="I688">
        <v>2834</v>
      </c>
    </row>
    <row r="689" spans="1:9" x14ac:dyDescent="0.3">
      <c r="A689">
        <v>1481</v>
      </c>
      <c r="B689" t="s">
        <v>377</v>
      </c>
      <c r="C689" t="s">
        <v>527</v>
      </c>
      <c r="D689" t="s">
        <v>62</v>
      </c>
      <c r="E689" t="s">
        <v>136</v>
      </c>
      <c r="F689" t="s">
        <v>46</v>
      </c>
      <c r="G689">
        <v>1</v>
      </c>
      <c r="H689">
        <v>3816</v>
      </c>
      <c r="I689">
        <v>3816</v>
      </c>
    </row>
    <row r="690" spans="1:9" x14ac:dyDescent="0.3">
      <c r="A690">
        <v>1496</v>
      </c>
      <c r="B690" t="s">
        <v>96</v>
      </c>
      <c r="C690" t="s">
        <v>269</v>
      </c>
      <c r="D690" t="s">
        <v>35</v>
      </c>
      <c r="E690" t="s">
        <v>83</v>
      </c>
      <c r="F690" t="s">
        <v>93</v>
      </c>
      <c r="G690">
        <v>1</v>
      </c>
      <c r="H690">
        <v>1868</v>
      </c>
      <c r="I690">
        <v>1868</v>
      </c>
    </row>
    <row r="691" spans="1:9" x14ac:dyDescent="0.3">
      <c r="A691">
        <v>1172</v>
      </c>
      <c r="B691" t="s">
        <v>607</v>
      </c>
      <c r="C691" t="s">
        <v>231</v>
      </c>
      <c r="D691" t="s">
        <v>42</v>
      </c>
      <c r="E691" t="s">
        <v>12</v>
      </c>
      <c r="F691" t="s">
        <v>133</v>
      </c>
      <c r="G691">
        <v>5</v>
      </c>
      <c r="H691">
        <v>4875</v>
      </c>
      <c r="I691">
        <v>24375</v>
      </c>
    </row>
    <row r="692" spans="1:9" x14ac:dyDescent="0.3">
      <c r="A692">
        <v>1252</v>
      </c>
      <c r="B692" t="s">
        <v>536</v>
      </c>
      <c r="C692" t="s">
        <v>151</v>
      </c>
      <c r="D692" t="s">
        <v>30</v>
      </c>
      <c r="E692" t="s">
        <v>83</v>
      </c>
      <c r="F692" t="s">
        <v>112</v>
      </c>
      <c r="G692">
        <v>1</v>
      </c>
      <c r="H692">
        <v>3429</v>
      </c>
      <c r="I692">
        <v>3429</v>
      </c>
    </row>
    <row r="693" spans="1:9" x14ac:dyDescent="0.3">
      <c r="A693">
        <v>1108</v>
      </c>
      <c r="B693" t="s">
        <v>448</v>
      </c>
      <c r="C693" t="s">
        <v>438</v>
      </c>
      <c r="E693" t="s">
        <v>92</v>
      </c>
      <c r="F693" t="s">
        <v>32</v>
      </c>
      <c r="G693">
        <v>4</v>
      </c>
      <c r="H693">
        <v>2406</v>
      </c>
      <c r="I693">
        <v>9624</v>
      </c>
    </row>
    <row r="694" spans="1:9" x14ac:dyDescent="0.3">
      <c r="A694">
        <v>1044</v>
      </c>
      <c r="B694" t="s">
        <v>540</v>
      </c>
      <c r="C694" t="s">
        <v>477</v>
      </c>
      <c r="D694" t="s">
        <v>16</v>
      </c>
      <c r="E694" t="s">
        <v>49</v>
      </c>
      <c r="F694" t="s">
        <v>22</v>
      </c>
      <c r="G694">
        <v>1</v>
      </c>
      <c r="H694">
        <v>2517</v>
      </c>
      <c r="I694">
        <v>2517</v>
      </c>
    </row>
    <row r="695" spans="1:9" x14ac:dyDescent="0.3">
      <c r="A695">
        <v>1072</v>
      </c>
      <c r="B695" t="s">
        <v>487</v>
      </c>
      <c r="C695" t="s">
        <v>193</v>
      </c>
      <c r="D695" t="s">
        <v>30</v>
      </c>
      <c r="E695" t="s">
        <v>45</v>
      </c>
      <c r="F695" t="s">
        <v>124</v>
      </c>
      <c r="G695">
        <v>2</v>
      </c>
      <c r="H695">
        <v>2166</v>
      </c>
      <c r="I695">
        <v>4332</v>
      </c>
    </row>
    <row r="696" spans="1:9" x14ac:dyDescent="0.3">
      <c r="A696">
        <v>1091</v>
      </c>
      <c r="B696" t="s">
        <v>298</v>
      </c>
      <c r="C696" t="s">
        <v>150</v>
      </c>
      <c r="D696" t="s">
        <v>52</v>
      </c>
      <c r="E696" t="s">
        <v>140</v>
      </c>
      <c r="F696" t="s">
        <v>114</v>
      </c>
      <c r="G696">
        <v>3</v>
      </c>
      <c r="H696">
        <v>1462</v>
      </c>
      <c r="I696">
        <v>4386</v>
      </c>
    </row>
    <row r="697" spans="1:9" x14ac:dyDescent="0.3">
      <c r="A697">
        <v>1442</v>
      </c>
      <c r="B697" t="s">
        <v>427</v>
      </c>
      <c r="C697" t="s">
        <v>608</v>
      </c>
      <c r="D697" t="s">
        <v>35</v>
      </c>
      <c r="E697" t="s">
        <v>17</v>
      </c>
      <c r="F697" t="s">
        <v>101</v>
      </c>
      <c r="G697">
        <v>5</v>
      </c>
      <c r="H697">
        <v>1837</v>
      </c>
      <c r="I697">
        <v>9185</v>
      </c>
    </row>
    <row r="698" spans="1:9" x14ac:dyDescent="0.3">
      <c r="A698">
        <v>1487</v>
      </c>
      <c r="B698" t="s">
        <v>569</v>
      </c>
      <c r="C698" t="s">
        <v>222</v>
      </c>
      <c r="D698" t="s">
        <v>35</v>
      </c>
      <c r="E698" t="s">
        <v>45</v>
      </c>
      <c r="F698" t="s">
        <v>124</v>
      </c>
      <c r="G698">
        <v>5</v>
      </c>
      <c r="H698">
        <v>1726</v>
      </c>
      <c r="I698">
        <v>8630</v>
      </c>
    </row>
    <row r="699" spans="1:9" x14ac:dyDescent="0.3">
      <c r="A699">
        <v>1041</v>
      </c>
      <c r="B699" t="s">
        <v>254</v>
      </c>
      <c r="C699" t="s">
        <v>162</v>
      </c>
      <c r="D699" t="s">
        <v>62</v>
      </c>
      <c r="E699" t="s">
        <v>49</v>
      </c>
      <c r="F699" t="s">
        <v>128</v>
      </c>
      <c r="G699">
        <v>5</v>
      </c>
      <c r="H699">
        <v>4498</v>
      </c>
      <c r="I699">
        <v>22490</v>
      </c>
    </row>
    <row r="700" spans="1:9" x14ac:dyDescent="0.3">
      <c r="A700">
        <v>1081</v>
      </c>
      <c r="B700" t="s">
        <v>531</v>
      </c>
      <c r="C700" t="s">
        <v>532</v>
      </c>
      <c r="D700" t="s">
        <v>16</v>
      </c>
      <c r="E700" t="s">
        <v>100</v>
      </c>
      <c r="F700" t="s">
        <v>114</v>
      </c>
      <c r="G700">
        <v>5</v>
      </c>
      <c r="H700">
        <v>3703</v>
      </c>
      <c r="I700">
        <v>18515</v>
      </c>
    </row>
    <row r="701" spans="1:9" x14ac:dyDescent="0.3">
      <c r="A701">
        <v>1078</v>
      </c>
      <c r="B701" t="s">
        <v>134</v>
      </c>
      <c r="C701" t="s">
        <v>498</v>
      </c>
      <c r="D701" t="s">
        <v>52</v>
      </c>
      <c r="E701" t="s">
        <v>92</v>
      </c>
      <c r="F701" t="s">
        <v>57</v>
      </c>
      <c r="G701">
        <v>1</v>
      </c>
      <c r="H701">
        <v>4006</v>
      </c>
      <c r="I701">
        <v>4006</v>
      </c>
    </row>
    <row r="702" spans="1:9" x14ac:dyDescent="0.3">
      <c r="A702">
        <v>1259</v>
      </c>
      <c r="B702" t="s">
        <v>383</v>
      </c>
      <c r="C702" t="s">
        <v>453</v>
      </c>
      <c r="D702" t="s">
        <v>25</v>
      </c>
      <c r="E702" t="s">
        <v>83</v>
      </c>
      <c r="F702" t="s">
        <v>57</v>
      </c>
      <c r="G702">
        <v>4</v>
      </c>
      <c r="H702">
        <v>1670</v>
      </c>
      <c r="I702">
        <v>6680</v>
      </c>
    </row>
    <row r="703" spans="1:9" x14ac:dyDescent="0.3">
      <c r="A703">
        <v>1046</v>
      </c>
      <c r="B703" t="s">
        <v>410</v>
      </c>
      <c r="C703" t="s">
        <v>245</v>
      </c>
      <c r="D703" t="s">
        <v>62</v>
      </c>
      <c r="E703" t="s">
        <v>26</v>
      </c>
      <c r="F703" t="s">
        <v>95</v>
      </c>
      <c r="G703">
        <v>5</v>
      </c>
      <c r="H703">
        <v>2371</v>
      </c>
      <c r="I703">
        <v>11855</v>
      </c>
    </row>
    <row r="704" spans="1:9" x14ac:dyDescent="0.3">
      <c r="A704">
        <v>1191</v>
      </c>
      <c r="B704" t="s">
        <v>166</v>
      </c>
      <c r="C704" t="s">
        <v>390</v>
      </c>
      <c r="D704" t="s">
        <v>25</v>
      </c>
      <c r="E704" t="s">
        <v>56</v>
      </c>
      <c r="G704">
        <v>4</v>
      </c>
      <c r="H704">
        <v>4577</v>
      </c>
      <c r="I704">
        <v>18308</v>
      </c>
    </row>
    <row r="705" spans="1:9" x14ac:dyDescent="0.3">
      <c r="A705">
        <v>1013</v>
      </c>
      <c r="B705" t="s">
        <v>609</v>
      </c>
      <c r="C705" t="s">
        <v>130</v>
      </c>
      <c r="D705" t="s">
        <v>62</v>
      </c>
      <c r="E705" t="s">
        <v>45</v>
      </c>
      <c r="F705" t="s">
        <v>46</v>
      </c>
      <c r="G705">
        <v>3</v>
      </c>
      <c r="H705">
        <v>3155</v>
      </c>
      <c r="I705">
        <v>9465</v>
      </c>
    </row>
    <row r="706" spans="1:9" x14ac:dyDescent="0.3">
      <c r="A706">
        <v>1404</v>
      </c>
      <c r="B706" t="s">
        <v>242</v>
      </c>
      <c r="C706" t="s">
        <v>501</v>
      </c>
      <c r="D706" t="s">
        <v>16</v>
      </c>
      <c r="E706" t="s">
        <v>17</v>
      </c>
      <c r="F706" t="s">
        <v>114</v>
      </c>
      <c r="G706">
        <v>1</v>
      </c>
      <c r="H706">
        <v>330</v>
      </c>
      <c r="I706">
        <v>330</v>
      </c>
    </row>
    <row r="707" spans="1:9" x14ac:dyDescent="0.3">
      <c r="A707">
        <v>1027</v>
      </c>
      <c r="B707" t="s">
        <v>528</v>
      </c>
      <c r="C707" t="s">
        <v>544</v>
      </c>
      <c r="D707" t="s">
        <v>16</v>
      </c>
      <c r="E707" t="s">
        <v>140</v>
      </c>
      <c r="F707" t="s">
        <v>114</v>
      </c>
      <c r="G707">
        <v>1</v>
      </c>
      <c r="H707">
        <v>2665</v>
      </c>
      <c r="I707">
        <v>2665</v>
      </c>
    </row>
    <row r="708" spans="1:9" x14ac:dyDescent="0.3">
      <c r="A708">
        <v>1432</v>
      </c>
      <c r="B708" t="s">
        <v>401</v>
      </c>
      <c r="C708" t="s">
        <v>157</v>
      </c>
      <c r="D708" t="s">
        <v>62</v>
      </c>
      <c r="E708" t="s">
        <v>140</v>
      </c>
      <c r="F708" t="s">
        <v>114</v>
      </c>
      <c r="G708">
        <v>4</v>
      </c>
      <c r="H708">
        <v>360</v>
      </c>
      <c r="I708">
        <v>1440</v>
      </c>
    </row>
    <row r="709" spans="1:9" x14ac:dyDescent="0.3">
      <c r="A709">
        <v>1206</v>
      </c>
      <c r="B709" t="s">
        <v>244</v>
      </c>
      <c r="C709" t="s">
        <v>460</v>
      </c>
      <c r="D709" t="s">
        <v>42</v>
      </c>
      <c r="E709" t="s">
        <v>21</v>
      </c>
      <c r="F709" t="s">
        <v>124</v>
      </c>
      <c r="G709">
        <v>1</v>
      </c>
      <c r="H709">
        <v>3737</v>
      </c>
      <c r="I709">
        <v>3737</v>
      </c>
    </row>
    <row r="710" spans="1:9" x14ac:dyDescent="0.3">
      <c r="A710">
        <v>1592</v>
      </c>
      <c r="B710" t="s">
        <v>341</v>
      </c>
      <c r="C710" t="s">
        <v>539</v>
      </c>
      <c r="D710" t="s">
        <v>52</v>
      </c>
      <c r="E710" t="s">
        <v>26</v>
      </c>
      <c r="F710" t="s">
        <v>27</v>
      </c>
      <c r="G710">
        <v>4</v>
      </c>
      <c r="H710">
        <v>4405</v>
      </c>
      <c r="I710">
        <v>17620</v>
      </c>
    </row>
    <row r="711" spans="1:9" x14ac:dyDescent="0.3">
      <c r="A711">
        <v>1499</v>
      </c>
      <c r="B711" t="s">
        <v>552</v>
      </c>
      <c r="C711" t="s">
        <v>289</v>
      </c>
      <c r="D711" t="s">
        <v>52</v>
      </c>
      <c r="E711" t="s">
        <v>83</v>
      </c>
      <c r="F711" t="s">
        <v>57</v>
      </c>
      <c r="G711">
        <v>5</v>
      </c>
      <c r="H711">
        <v>2787</v>
      </c>
      <c r="I711">
        <v>13935</v>
      </c>
    </row>
    <row r="712" spans="1:9" x14ac:dyDescent="0.3">
      <c r="A712">
        <v>1427</v>
      </c>
      <c r="B712" t="s">
        <v>465</v>
      </c>
      <c r="C712" t="s">
        <v>157</v>
      </c>
      <c r="D712" t="s">
        <v>62</v>
      </c>
      <c r="E712" t="s">
        <v>21</v>
      </c>
      <c r="F712" t="s">
        <v>67</v>
      </c>
      <c r="G712">
        <v>4</v>
      </c>
      <c r="H712">
        <v>370</v>
      </c>
      <c r="I712">
        <v>1480</v>
      </c>
    </row>
    <row r="713" spans="1:9" x14ac:dyDescent="0.3">
      <c r="A713">
        <v>1480</v>
      </c>
      <c r="B713" t="s">
        <v>23</v>
      </c>
      <c r="C713" t="s">
        <v>179</v>
      </c>
      <c r="D713" t="s">
        <v>35</v>
      </c>
      <c r="E713" t="s">
        <v>39</v>
      </c>
      <c r="F713" t="s">
        <v>18</v>
      </c>
      <c r="G713">
        <v>5</v>
      </c>
      <c r="H713">
        <v>4037</v>
      </c>
      <c r="I713">
        <v>20185</v>
      </c>
    </row>
    <row r="714" spans="1:9" x14ac:dyDescent="0.3">
      <c r="A714">
        <v>1399</v>
      </c>
      <c r="B714" t="s">
        <v>577</v>
      </c>
      <c r="C714" t="s">
        <v>34</v>
      </c>
      <c r="D714" t="s">
        <v>16</v>
      </c>
      <c r="E714" t="s">
        <v>12</v>
      </c>
      <c r="F714" t="s">
        <v>75</v>
      </c>
      <c r="G714">
        <v>3</v>
      </c>
      <c r="H714">
        <v>906</v>
      </c>
      <c r="I714">
        <v>2718</v>
      </c>
    </row>
    <row r="715" spans="1:9" x14ac:dyDescent="0.3">
      <c r="A715">
        <v>1204</v>
      </c>
      <c r="B715" t="s">
        <v>253</v>
      </c>
      <c r="C715" t="s">
        <v>201</v>
      </c>
      <c r="D715" t="s">
        <v>62</v>
      </c>
      <c r="E715" t="s">
        <v>45</v>
      </c>
      <c r="F715" t="s">
        <v>124</v>
      </c>
      <c r="G715">
        <v>3</v>
      </c>
      <c r="H715">
        <v>2122</v>
      </c>
      <c r="I715">
        <v>6366</v>
      </c>
    </row>
    <row r="716" spans="1:9" x14ac:dyDescent="0.3">
      <c r="A716">
        <v>1018</v>
      </c>
      <c r="B716" t="s">
        <v>541</v>
      </c>
      <c r="C716" t="s">
        <v>99</v>
      </c>
      <c r="D716" t="s">
        <v>11</v>
      </c>
      <c r="E716" t="s">
        <v>12</v>
      </c>
      <c r="F716" t="s">
        <v>95</v>
      </c>
      <c r="G716">
        <v>5</v>
      </c>
      <c r="H716">
        <v>461</v>
      </c>
      <c r="I716">
        <v>2305</v>
      </c>
    </row>
    <row r="717" spans="1:9" x14ac:dyDescent="0.3">
      <c r="A717">
        <v>1116</v>
      </c>
      <c r="B717" t="s">
        <v>522</v>
      </c>
      <c r="C717" t="s">
        <v>457</v>
      </c>
      <c r="D717" t="s">
        <v>62</v>
      </c>
      <c r="E717" t="s">
        <v>31</v>
      </c>
      <c r="F717" t="s">
        <v>57</v>
      </c>
      <c r="G717">
        <v>3</v>
      </c>
      <c r="H717">
        <v>2987</v>
      </c>
      <c r="I717">
        <v>8961</v>
      </c>
    </row>
    <row r="718" spans="1:9" x14ac:dyDescent="0.3">
      <c r="A718">
        <v>1570</v>
      </c>
      <c r="B718" t="s">
        <v>357</v>
      </c>
      <c r="C718" t="s">
        <v>388</v>
      </c>
      <c r="D718" t="s">
        <v>42</v>
      </c>
      <c r="E718" t="s">
        <v>17</v>
      </c>
      <c r="F718" t="s">
        <v>18</v>
      </c>
      <c r="G718">
        <v>4</v>
      </c>
      <c r="H718">
        <v>3944</v>
      </c>
      <c r="I718">
        <v>15776</v>
      </c>
    </row>
    <row r="719" spans="1:9" x14ac:dyDescent="0.3">
      <c r="A719">
        <v>1108</v>
      </c>
      <c r="B719" t="s">
        <v>403</v>
      </c>
      <c r="C719" t="s">
        <v>610</v>
      </c>
      <c r="D719" t="s">
        <v>25</v>
      </c>
      <c r="E719" t="s">
        <v>83</v>
      </c>
      <c r="F719" t="s">
        <v>57</v>
      </c>
      <c r="G719">
        <v>2</v>
      </c>
      <c r="H719">
        <v>1167</v>
      </c>
      <c r="I719">
        <v>2334</v>
      </c>
    </row>
    <row r="720" spans="1:9" x14ac:dyDescent="0.3">
      <c r="A720">
        <v>1160</v>
      </c>
      <c r="B720" t="s">
        <v>611</v>
      </c>
      <c r="C720" t="s">
        <v>381</v>
      </c>
      <c r="D720" t="s">
        <v>25</v>
      </c>
      <c r="E720" t="s">
        <v>45</v>
      </c>
      <c r="F720" t="s">
        <v>67</v>
      </c>
      <c r="G720">
        <v>2</v>
      </c>
      <c r="H720">
        <v>3179</v>
      </c>
      <c r="I720">
        <v>6358</v>
      </c>
    </row>
    <row r="721" spans="1:9" x14ac:dyDescent="0.3">
      <c r="A721">
        <v>1206</v>
      </c>
      <c r="B721" t="s">
        <v>190</v>
      </c>
      <c r="C721" t="s">
        <v>534</v>
      </c>
      <c r="D721" t="s">
        <v>62</v>
      </c>
      <c r="E721" t="s">
        <v>49</v>
      </c>
      <c r="F721" t="s">
        <v>124</v>
      </c>
      <c r="G721">
        <v>3</v>
      </c>
      <c r="H721">
        <v>2549</v>
      </c>
      <c r="I721">
        <v>7647</v>
      </c>
    </row>
    <row r="722" spans="1:9" x14ac:dyDescent="0.3">
      <c r="A722">
        <v>1381</v>
      </c>
      <c r="B722" t="s">
        <v>147</v>
      </c>
      <c r="C722" t="s">
        <v>512</v>
      </c>
      <c r="D722" t="s">
        <v>16</v>
      </c>
      <c r="E722" t="s">
        <v>140</v>
      </c>
      <c r="F722" t="s">
        <v>114</v>
      </c>
      <c r="G722">
        <v>2</v>
      </c>
      <c r="H722">
        <v>3712</v>
      </c>
      <c r="I722">
        <v>7424</v>
      </c>
    </row>
    <row r="723" spans="1:9" x14ac:dyDescent="0.3">
      <c r="A723">
        <v>1469</v>
      </c>
      <c r="B723" t="s">
        <v>510</v>
      </c>
      <c r="C723" t="s">
        <v>581</v>
      </c>
      <c r="D723" t="s">
        <v>11</v>
      </c>
      <c r="E723" t="s">
        <v>26</v>
      </c>
      <c r="F723" t="s">
        <v>27</v>
      </c>
      <c r="G723">
        <v>1</v>
      </c>
      <c r="H723">
        <v>4438</v>
      </c>
      <c r="I723">
        <v>4438</v>
      </c>
    </row>
    <row r="724" spans="1:9" x14ac:dyDescent="0.3">
      <c r="A724">
        <v>1322</v>
      </c>
      <c r="B724" t="s">
        <v>355</v>
      </c>
      <c r="C724" t="s">
        <v>284</v>
      </c>
      <c r="D724" t="s">
        <v>52</v>
      </c>
      <c r="E724" t="s">
        <v>17</v>
      </c>
      <c r="F724" t="s">
        <v>53</v>
      </c>
      <c r="G724">
        <v>1</v>
      </c>
      <c r="H724">
        <v>1436</v>
      </c>
      <c r="I724">
        <v>1436</v>
      </c>
    </row>
    <row r="725" spans="1:9" x14ac:dyDescent="0.3">
      <c r="A725">
        <v>1532</v>
      </c>
      <c r="B725" t="s">
        <v>225</v>
      </c>
      <c r="C725" t="s">
        <v>333</v>
      </c>
      <c r="D725" t="s">
        <v>35</v>
      </c>
      <c r="E725" t="s">
        <v>21</v>
      </c>
      <c r="F725" t="s">
        <v>67</v>
      </c>
      <c r="G725">
        <v>3</v>
      </c>
      <c r="H725">
        <v>264</v>
      </c>
      <c r="I725">
        <v>792</v>
      </c>
    </row>
    <row r="726" spans="1:9" x14ac:dyDescent="0.3">
      <c r="A726">
        <v>1150</v>
      </c>
      <c r="B726" t="s">
        <v>360</v>
      </c>
      <c r="C726" t="s">
        <v>80</v>
      </c>
      <c r="D726" t="s">
        <v>35</v>
      </c>
      <c r="E726" t="s">
        <v>45</v>
      </c>
      <c r="F726" t="s">
        <v>128</v>
      </c>
      <c r="G726">
        <v>4</v>
      </c>
      <c r="H726">
        <v>1816</v>
      </c>
      <c r="I726">
        <v>7264</v>
      </c>
    </row>
    <row r="727" spans="1:9" x14ac:dyDescent="0.3">
      <c r="A727">
        <v>1550</v>
      </c>
      <c r="B727" t="s">
        <v>434</v>
      </c>
      <c r="C727" t="s">
        <v>276</v>
      </c>
      <c r="D727" t="s">
        <v>16</v>
      </c>
      <c r="E727" t="s">
        <v>100</v>
      </c>
      <c r="F727" t="s">
        <v>18</v>
      </c>
      <c r="G727">
        <v>1</v>
      </c>
      <c r="H727">
        <v>4391</v>
      </c>
      <c r="I727">
        <v>4391</v>
      </c>
    </row>
    <row r="728" spans="1:9" x14ac:dyDescent="0.3">
      <c r="A728">
        <v>1163</v>
      </c>
      <c r="B728" t="s">
        <v>401</v>
      </c>
      <c r="C728" t="s">
        <v>442</v>
      </c>
      <c r="D728" t="s">
        <v>52</v>
      </c>
      <c r="E728" t="s">
        <v>36</v>
      </c>
      <c r="F728" t="s">
        <v>13</v>
      </c>
      <c r="G728">
        <v>5</v>
      </c>
      <c r="H728">
        <v>1104</v>
      </c>
      <c r="I728">
        <v>5520</v>
      </c>
    </row>
    <row r="729" spans="1:9" x14ac:dyDescent="0.3">
      <c r="A729">
        <v>1265</v>
      </c>
      <c r="B729" t="s">
        <v>268</v>
      </c>
      <c r="C729" t="s">
        <v>562</v>
      </c>
      <c r="E729" t="s">
        <v>89</v>
      </c>
      <c r="F729" t="s">
        <v>27</v>
      </c>
      <c r="G729">
        <v>4</v>
      </c>
      <c r="H729">
        <v>2640</v>
      </c>
      <c r="I729">
        <v>10560</v>
      </c>
    </row>
    <row r="730" spans="1:9" x14ac:dyDescent="0.3">
      <c r="A730">
        <v>1347</v>
      </c>
      <c r="B730" t="s">
        <v>266</v>
      </c>
      <c r="C730" t="s">
        <v>251</v>
      </c>
      <c r="D730" t="s">
        <v>30</v>
      </c>
      <c r="E730" t="s">
        <v>100</v>
      </c>
      <c r="F730" t="s">
        <v>101</v>
      </c>
      <c r="G730">
        <v>5</v>
      </c>
      <c r="H730">
        <v>1346</v>
      </c>
      <c r="I730">
        <v>6730</v>
      </c>
    </row>
    <row r="731" spans="1:9" x14ac:dyDescent="0.3">
      <c r="A731">
        <v>1253</v>
      </c>
      <c r="B731" t="s">
        <v>399</v>
      </c>
      <c r="C731" t="s">
        <v>226</v>
      </c>
      <c r="D731" t="s">
        <v>25</v>
      </c>
      <c r="E731" t="s">
        <v>140</v>
      </c>
      <c r="F731" t="s">
        <v>101</v>
      </c>
      <c r="G731">
        <v>2</v>
      </c>
      <c r="H731">
        <v>3687</v>
      </c>
      <c r="I731">
        <v>7374</v>
      </c>
    </row>
    <row r="732" spans="1:9" x14ac:dyDescent="0.3">
      <c r="A732">
        <v>1063</v>
      </c>
      <c r="B732" t="s">
        <v>366</v>
      </c>
      <c r="C732" t="s">
        <v>612</v>
      </c>
      <c r="D732" t="s">
        <v>62</v>
      </c>
      <c r="E732" t="s">
        <v>39</v>
      </c>
      <c r="F732" t="s">
        <v>53</v>
      </c>
      <c r="G732">
        <v>1</v>
      </c>
      <c r="H732">
        <v>3225</v>
      </c>
      <c r="I732">
        <v>3225</v>
      </c>
    </row>
    <row r="733" spans="1:9" x14ac:dyDescent="0.3">
      <c r="A733">
        <v>1572</v>
      </c>
      <c r="B733" t="s">
        <v>508</v>
      </c>
      <c r="C733" t="s">
        <v>241</v>
      </c>
      <c r="D733" t="s">
        <v>52</v>
      </c>
      <c r="E733" t="s">
        <v>45</v>
      </c>
      <c r="F733" t="s">
        <v>22</v>
      </c>
      <c r="G733">
        <v>4</v>
      </c>
      <c r="H733">
        <v>4210</v>
      </c>
      <c r="I733">
        <v>16840</v>
      </c>
    </row>
    <row r="734" spans="1:9" x14ac:dyDescent="0.3">
      <c r="A734">
        <v>1166</v>
      </c>
      <c r="B734" t="s">
        <v>219</v>
      </c>
      <c r="C734" t="s">
        <v>562</v>
      </c>
      <c r="D734" t="s">
        <v>11</v>
      </c>
      <c r="E734" t="s">
        <v>140</v>
      </c>
      <c r="F734" t="s">
        <v>53</v>
      </c>
      <c r="G734">
        <v>5</v>
      </c>
      <c r="H734">
        <v>4534</v>
      </c>
      <c r="I734">
        <v>22670</v>
      </c>
    </row>
    <row r="735" spans="1:9" x14ac:dyDescent="0.3">
      <c r="A735">
        <v>1484</v>
      </c>
      <c r="B735" t="s">
        <v>367</v>
      </c>
      <c r="C735" t="s">
        <v>88</v>
      </c>
      <c r="D735" t="s">
        <v>25</v>
      </c>
      <c r="E735" t="s">
        <v>100</v>
      </c>
      <c r="F735" t="s">
        <v>18</v>
      </c>
      <c r="G735">
        <v>5</v>
      </c>
      <c r="H735">
        <v>3547</v>
      </c>
      <c r="I735">
        <v>17735</v>
      </c>
    </row>
    <row r="736" spans="1:9" x14ac:dyDescent="0.3">
      <c r="A736">
        <v>1296</v>
      </c>
      <c r="B736" t="s">
        <v>425</v>
      </c>
      <c r="C736" t="s">
        <v>488</v>
      </c>
      <c r="D736" t="s">
        <v>30</v>
      </c>
      <c r="E736" t="s">
        <v>100</v>
      </c>
      <c r="F736" t="s">
        <v>72</v>
      </c>
      <c r="G736">
        <v>3</v>
      </c>
      <c r="H736">
        <v>2684</v>
      </c>
      <c r="I736">
        <v>8052</v>
      </c>
    </row>
    <row r="737" spans="1:9" x14ac:dyDescent="0.3">
      <c r="A737">
        <v>1146</v>
      </c>
      <c r="B737" t="s">
        <v>570</v>
      </c>
      <c r="C737" t="s">
        <v>214</v>
      </c>
      <c r="D737" t="s">
        <v>30</v>
      </c>
      <c r="E737" t="s">
        <v>21</v>
      </c>
      <c r="F737" t="s">
        <v>124</v>
      </c>
      <c r="G737">
        <v>2</v>
      </c>
      <c r="H737">
        <v>1699</v>
      </c>
      <c r="I737">
        <v>3398</v>
      </c>
    </row>
    <row r="738" spans="1:9" x14ac:dyDescent="0.3">
      <c r="A738">
        <v>1125</v>
      </c>
      <c r="B738" t="s">
        <v>487</v>
      </c>
      <c r="C738" t="s">
        <v>400</v>
      </c>
      <c r="D738" t="s">
        <v>62</v>
      </c>
      <c r="E738" t="s">
        <v>92</v>
      </c>
      <c r="F738" t="s">
        <v>32</v>
      </c>
      <c r="G738">
        <v>5</v>
      </c>
      <c r="H738">
        <v>2737</v>
      </c>
      <c r="I738">
        <v>13685</v>
      </c>
    </row>
    <row r="739" spans="1:9" x14ac:dyDescent="0.3">
      <c r="A739">
        <v>1386</v>
      </c>
      <c r="B739" t="s">
        <v>613</v>
      </c>
      <c r="C739" t="s">
        <v>34</v>
      </c>
      <c r="D739" t="s">
        <v>62</v>
      </c>
      <c r="E739" t="s">
        <v>140</v>
      </c>
      <c r="F739" t="s">
        <v>114</v>
      </c>
      <c r="G739">
        <v>4</v>
      </c>
      <c r="H739">
        <v>1420</v>
      </c>
      <c r="I739">
        <v>5680</v>
      </c>
    </row>
    <row r="740" spans="1:9" x14ac:dyDescent="0.3">
      <c r="A740">
        <v>1419</v>
      </c>
      <c r="B740" t="s">
        <v>423</v>
      </c>
      <c r="C740" t="s">
        <v>173</v>
      </c>
      <c r="D740" t="s">
        <v>62</v>
      </c>
      <c r="E740" t="s">
        <v>136</v>
      </c>
      <c r="F740" t="s">
        <v>22</v>
      </c>
      <c r="G740">
        <v>3</v>
      </c>
      <c r="H740">
        <v>925</v>
      </c>
      <c r="I740">
        <v>2775</v>
      </c>
    </row>
    <row r="741" spans="1:9" x14ac:dyDescent="0.3">
      <c r="A741">
        <v>1585</v>
      </c>
      <c r="B741" t="s">
        <v>200</v>
      </c>
      <c r="C741" t="s">
        <v>581</v>
      </c>
      <c r="D741" t="s">
        <v>25</v>
      </c>
      <c r="E741" t="s">
        <v>89</v>
      </c>
      <c r="F741" t="s">
        <v>133</v>
      </c>
      <c r="G741">
        <v>2</v>
      </c>
      <c r="H741">
        <v>4638</v>
      </c>
      <c r="I741">
        <v>9276</v>
      </c>
    </row>
    <row r="742" spans="1:9" x14ac:dyDescent="0.3">
      <c r="A742">
        <v>1583</v>
      </c>
      <c r="B742" t="s">
        <v>181</v>
      </c>
      <c r="C742" t="s">
        <v>375</v>
      </c>
      <c r="D742" t="s">
        <v>25</v>
      </c>
      <c r="E742" t="s">
        <v>136</v>
      </c>
      <c r="F742" t="s">
        <v>67</v>
      </c>
      <c r="G742">
        <v>5</v>
      </c>
      <c r="H742">
        <v>1672</v>
      </c>
      <c r="I742">
        <v>8360</v>
      </c>
    </row>
    <row r="743" spans="1:9" x14ac:dyDescent="0.3">
      <c r="A743">
        <v>1210</v>
      </c>
      <c r="B743" t="s">
        <v>328</v>
      </c>
      <c r="C743" t="s">
        <v>293</v>
      </c>
      <c r="D743" t="s">
        <v>52</v>
      </c>
      <c r="E743" t="s">
        <v>21</v>
      </c>
      <c r="F743" t="s">
        <v>124</v>
      </c>
      <c r="G743">
        <v>5</v>
      </c>
      <c r="H743">
        <v>568</v>
      </c>
      <c r="I743">
        <v>2840</v>
      </c>
    </row>
    <row r="744" spans="1:9" x14ac:dyDescent="0.3">
      <c r="A744">
        <v>1348</v>
      </c>
      <c r="B744" t="s">
        <v>262</v>
      </c>
      <c r="C744" t="s">
        <v>586</v>
      </c>
      <c r="D744" t="s">
        <v>52</v>
      </c>
      <c r="E744" t="s">
        <v>21</v>
      </c>
      <c r="F744" t="s">
        <v>124</v>
      </c>
      <c r="G744">
        <v>3</v>
      </c>
      <c r="H744">
        <v>945</v>
      </c>
      <c r="I744">
        <v>2835</v>
      </c>
    </row>
    <row r="745" spans="1:9" x14ac:dyDescent="0.3">
      <c r="A745">
        <v>1172</v>
      </c>
      <c r="B745" t="s">
        <v>585</v>
      </c>
      <c r="C745" t="s">
        <v>514</v>
      </c>
      <c r="D745" t="s">
        <v>11</v>
      </c>
      <c r="E745" t="s">
        <v>17</v>
      </c>
      <c r="F745" t="s">
        <v>101</v>
      </c>
      <c r="G745">
        <v>3</v>
      </c>
      <c r="H745">
        <v>3536</v>
      </c>
      <c r="I745">
        <v>10608</v>
      </c>
    </row>
    <row r="746" spans="1:9" x14ac:dyDescent="0.3">
      <c r="A746">
        <v>1333</v>
      </c>
      <c r="B746" t="s">
        <v>470</v>
      </c>
      <c r="C746" t="s">
        <v>152</v>
      </c>
      <c r="D746" t="s">
        <v>25</v>
      </c>
      <c r="E746" t="s">
        <v>92</v>
      </c>
      <c r="F746" t="s">
        <v>112</v>
      </c>
      <c r="G746">
        <v>3</v>
      </c>
      <c r="H746">
        <v>1367</v>
      </c>
      <c r="I746">
        <v>4101</v>
      </c>
    </row>
    <row r="747" spans="1:9" x14ac:dyDescent="0.3">
      <c r="A747">
        <v>1384</v>
      </c>
      <c r="B747" t="s">
        <v>535</v>
      </c>
      <c r="C747" t="s">
        <v>454</v>
      </c>
      <c r="D747" t="s">
        <v>62</v>
      </c>
      <c r="E747" t="s">
        <v>39</v>
      </c>
      <c r="F747" t="s">
        <v>114</v>
      </c>
      <c r="G747">
        <v>5</v>
      </c>
      <c r="H747">
        <v>4332</v>
      </c>
      <c r="I747">
        <v>21660</v>
      </c>
    </row>
    <row r="748" spans="1:9" x14ac:dyDescent="0.3">
      <c r="A748">
        <v>1062</v>
      </c>
      <c r="B748" t="s">
        <v>209</v>
      </c>
      <c r="C748" t="s">
        <v>301</v>
      </c>
      <c r="E748" t="s">
        <v>45</v>
      </c>
      <c r="F748" t="s">
        <v>124</v>
      </c>
      <c r="G748">
        <v>4</v>
      </c>
      <c r="H748">
        <v>2114</v>
      </c>
      <c r="I748">
        <v>8456</v>
      </c>
    </row>
    <row r="749" spans="1:9" x14ac:dyDescent="0.3">
      <c r="A749">
        <v>1567</v>
      </c>
      <c r="B749" t="s">
        <v>192</v>
      </c>
      <c r="C749" t="s">
        <v>542</v>
      </c>
      <c r="D749" t="s">
        <v>30</v>
      </c>
      <c r="E749" t="s">
        <v>31</v>
      </c>
      <c r="F749" t="s">
        <v>93</v>
      </c>
      <c r="G749">
        <v>5</v>
      </c>
      <c r="H749">
        <v>3532</v>
      </c>
      <c r="I749">
        <v>17660</v>
      </c>
    </row>
    <row r="750" spans="1:9" x14ac:dyDescent="0.3">
      <c r="A750">
        <v>1512</v>
      </c>
      <c r="B750" t="s">
        <v>374</v>
      </c>
      <c r="C750" t="s">
        <v>214</v>
      </c>
      <c r="D750" t="s">
        <v>16</v>
      </c>
      <c r="E750" t="s">
        <v>39</v>
      </c>
      <c r="F750" t="s">
        <v>101</v>
      </c>
      <c r="G750">
        <v>5</v>
      </c>
      <c r="H750">
        <v>3671</v>
      </c>
      <c r="I750">
        <v>18355</v>
      </c>
    </row>
    <row r="751" spans="1:9" x14ac:dyDescent="0.3">
      <c r="A751">
        <v>1042</v>
      </c>
      <c r="B751" t="s">
        <v>614</v>
      </c>
      <c r="C751" t="s">
        <v>142</v>
      </c>
      <c r="D751" t="s">
        <v>11</v>
      </c>
      <c r="E751" t="s">
        <v>21</v>
      </c>
      <c r="F751" t="s">
        <v>67</v>
      </c>
      <c r="G751">
        <v>1</v>
      </c>
      <c r="H751">
        <v>692</v>
      </c>
      <c r="I751">
        <v>692</v>
      </c>
    </row>
    <row r="752" spans="1:9" x14ac:dyDescent="0.3">
      <c r="A752">
        <v>1256</v>
      </c>
      <c r="B752" t="s">
        <v>54</v>
      </c>
      <c r="C752" t="s">
        <v>182</v>
      </c>
      <c r="D752" t="s">
        <v>42</v>
      </c>
      <c r="E752" t="s">
        <v>36</v>
      </c>
      <c r="F752" t="s">
        <v>13</v>
      </c>
      <c r="G752">
        <v>2</v>
      </c>
      <c r="H752">
        <v>4575</v>
      </c>
      <c r="I752">
        <v>9150</v>
      </c>
    </row>
    <row r="753" spans="1:9" x14ac:dyDescent="0.3">
      <c r="A753">
        <v>1404</v>
      </c>
      <c r="B753" t="s">
        <v>615</v>
      </c>
      <c r="C753" t="s">
        <v>348</v>
      </c>
      <c r="D753" t="s">
        <v>52</v>
      </c>
      <c r="E753" t="s">
        <v>100</v>
      </c>
      <c r="F753" t="s">
        <v>18</v>
      </c>
      <c r="G753">
        <v>2</v>
      </c>
      <c r="H753">
        <v>4335</v>
      </c>
      <c r="I753">
        <v>8670</v>
      </c>
    </row>
    <row r="754" spans="1:9" x14ac:dyDescent="0.3">
      <c r="A754">
        <v>1350</v>
      </c>
      <c r="B754" t="s">
        <v>33</v>
      </c>
      <c r="C754" t="s">
        <v>481</v>
      </c>
      <c r="D754" t="s">
        <v>35</v>
      </c>
      <c r="E754" t="s">
        <v>49</v>
      </c>
      <c r="F754" t="s">
        <v>22</v>
      </c>
      <c r="G754">
        <v>3</v>
      </c>
      <c r="H754">
        <v>1925</v>
      </c>
      <c r="I754">
        <v>5775</v>
      </c>
    </row>
    <row r="755" spans="1:9" x14ac:dyDescent="0.3">
      <c r="A755">
        <v>1016</v>
      </c>
      <c r="B755" t="s">
        <v>283</v>
      </c>
      <c r="C755" t="s">
        <v>409</v>
      </c>
      <c r="D755" t="s">
        <v>42</v>
      </c>
      <c r="E755" t="s">
        <v>92</v>
      </c>
      <c r="F755" t="s">
        <v>57</v>
      </c>
      <c r="G755">
        <v>1</v>
      </c>
      <c r="H755">
        <v>1621</v>
      </c>
      <c r="I755">
        <v>1621</v>
      </c>
    </row>
    <row r="756" spans="1:9" x14ac:dyDescent="0.3">
      <c r="A756">
        <v>1500</v>
      </c>
      <c r="B756" t="s">
        <v>394</v>
      </c>
      <c r="C756" t="s">
        <v>365</v>
      </c>
      <c r="D756" t="s">
        <v>62</v>
      </c>
      <c r="E756" t="s">
        <v>83</v>
      </c>
      <c r="F756" t="s">
        <v>32</v>
      </c>
      <c r="G756">
        <v>1</v>
      </c>
      <c r="H756">
        <v>3091</v>
      </c>
      <c r="I756">
        <v>3091</v>
      </c>
    </row>
    <row r="757" spans="1:9" x14ac:dyDescent="0.3">
      <c r="A757">
        <v>1366</v>
      </c>
      <c r="B757" t="s">
        <v>423</v>
      </c>
      <c r="C757" t="s">
        <v>164</v>
      </c>
      <c r="D757" t="s">
        <v>35</v>
      </c>
      <c r="E757" t="s">
        <v>92</v>
      </c>
      <c r="G757">
        <v>2</v>
      </c>
      <c r="H757">
        <v>3841</v>
      </c>
      <c r="I757">
        <v>7682</v>
      </c>
    </row>
    <row r="758" spans="1:9" x14ac:dyDescent="0.3">
      <c r="A758">
        <v>1287</v>
      </c>
      <c r="B758" t="s">
        <v>54</v>
      </c>
      <c r="C758" t="s">
        <v>61</v>
      </c>
      <c r="D758" t="s">
        <v>30</v>
      </c>
      <c r="E758" t="s">
        <v>89</v>
      </c>
      <c r="F758" t="s">
        <v>13</v>
      </c>
      <c r="G758">
        <v>2</v>
      </c>
      <c r="H758">
        <v>2119</v>
      </c>
      <c r="I758">
        <v>4238</v>
      </c>
    </row>
    <row r="759" spans="1:9" x14ac:dyDescent="0.3">
      <c r="A759">
        <v>1037</v>
      </c>
      <c r="B759" t="s">
        <v>336</v>
      </c>
      <c r="C759" t="s">
        <v>269</v>
      </c>
      <c r="D759" t="s">
        <v>52</v>
      </c>
      <c r="E759" t="s">
        <v>39</v>
      </c>
      <c r="F759" t="s">
        <v>72</v>
      </c>
      <c r="G759">
        <v>1</v>
      </c>
      <c r="H759">
        <v>2472</v>
      </c>
      <c r="I759">
        <v>2472</v>
      </c>
    </row>
    <row r="760" spans="1:9" x14ac:dyDescent="0.3">
      <c r="A760">
        <v>1565</v>
      </c>
      <c r="B760" t="s">
        <v>559</v>
      </c>
      <c r="C760" t="s">
        <v>66</v>
      </c>
      <c r="D760" t="s">
        <v>25</v>
      </c>
      <c r="E760" t="s">
        <v>39</v>
      </c>
      <c r="F760" t="s">
        <v>72</v>
      </c>
      <c r="G760">
        <v>2</v>
      </c>
      <c r="H760">
        <v>2326</v>
      </c>
      <c r="I760">
        <v>4652</v>
      </c>
    </row>
    <row r="761" spans="1:9" x14ac:dyDescent="0.3">
      <c r="A761">
        <v>1535</v>
      </c>
      <c r="B761" t="s">
        <v>270</v>
      </c>
      <c r="C761" t="s">
        <v>29</v>
      </c>
      <c r="D761" t="s">
        <v>62</v>
      </c>
      <c r="E761" t="s">
        <v>56</v>
      </c>
      <c r="F761" t="s">
        <v>57</v>
      </c>
      <c r="G761">
        <v>1</v>
      </c>
      <c r="H761">
        <v>3698</v>
      </c>
      <c r="I761">
        <v>3698</v>
      </c>
    </row>
    <row r="762" spans="1:9" x14ac:dyDescent="0.3">
      <c r="A762">
        <v>1053</v>
      </c>
      <c r="B762" t="s">
        <v>448</v>
      </c>
      <c r="C762" t="s">
        <v>444</v>
      </c>
      <c r="D762" t="s">
        <v>62</v>
      </c>
      <c r="E762" t="s">
        <v>136</v>
      </c>
      <c r="F762" t="s">
        <v>22</v>
      </c>
      <c r="G762">
        <v>4</v>
      </c>
      <c r="H762">
        <v>3161</v>
      </c>
      <c r="I762">
        <v>12644</v>
      </c>
    </row>
    <row r="763" spans="1:9" x14ac:dyDescent="0.3">
      <c r="A763">
        <v>1229</v>
      </c>
      <c r="B763" t="s">
        <v>303</v>
      </c>
      <c r="C763" t="s">
        <v>436</v>
      </c>
      <c r="D763" t="s">
        <v>35</v>
      </c>
      <c r="E763" t="s">
        <v>45</v>
      </c>
      <c r="F763" t="s">
        <v>67</v>
      </c>
      <c r="G763">
        <v>1</v>
      </c>
      <c r="H763">
        <v>3410</v>
      </c>
      <c r="I763">
        <v>3410</v>
      </c>
    </row>
    <row r="764" spans="1:9" x14ac:dyDescent="0.3">
      <c r="A764">
        <v>1585</v>
      </c>
      <c r="B764" t="s">
        <v>9</v>
      </c>
      <c r="C764" t="s">
        <v>314</v>
      </c>
      <c r="D764" t="s">
        <v>16</v>
      </c>
      <c r="E764" t="s">
        <v>17</v>
      </c>
      <c r="F764" t="s">
        <v>53</v>
      </c>
      <c r="G764">
        <v>2</v>
      </c>
      <c r="H764">
        <v>1547</v>
      </c>
      <c r="I764">
        <v>3094</v>
      </c>
    </row>
    <row r="765" spans="1:9" x14ac:dyDescent="0.3">
      <c r="A765">
        <v>1099</v>
      </c>
      <c r="B765" t="s">
        <v>601</v>
      </c>
      <c r="C765" t="s">
        <v>417</v>
      </c>
      <c r="D765" t="s">
        <v>30</v>
      </c>
      <c r="E765" t="s">
        <v>21</v>
      </c>
      <c r="F765" t="s">
        <v>124</v>
      </c>
      <c r="G765">
        <v>2</v>
      </c>
      <c r="H765">
        <v>1083</v>
      </c>
      <c r="I765">
        <v>2166</v>
      </c>
    </row>
    <row r="766" spans="1:9" x14ac:dyDescent="0.3">
      <c r="A766">
        <v>1055</v>
      </c>
      <c r="B766" t="s">
        <v>549</v>
      </c>
      <c r="C766" t="s">
        <v>488</v>
      </c>
      <c r="D766" t="s">
        <v>25</v>
      </c>
      <c r="E766" t="s">
        <v>140</v>
      </c>
      <c r="F766" t="s">
        <v>72</v>
      </c>
      <c r="G766">
        <v>4</v>
      </c>
      <c r="H766">
        <v>4942</v>
      </c>
      <c r="I766">
        <v>19768</v>
      </c>
    </row>
    <row r="767" spans="1:9" x14ac:dyDescent="0.3">
      <c r="A767">
        <v>1034</v>
      </c>
      <c r="B767" t="s">
        <v>396</v>
      </c>
      <c r="C767" t="s">
        <v>97</v>
      </c>
      <c r="D767" t="s">
        <v>62</v>
      </c>
      <c r="E767" t="s">
        <v>83</v>
      </c>
      <c r="F767" t="s">
        <v>93</v>
      </c>
      <c r="G767">
        <v>1</v>
      </c>
      <c r="H767">
        <v>2669</v>
      </c>
      <c r="I767">
        <v>2669</v>
      </c>
    </row>
    <row r="768" spans="1:9" x14ac:dyDescent="0.3">
      <c r="A768">
        <v>1104</v>
      </c>
      <c r="B768" t="s">
        <v>387</v>
      </c>
      <c r="C768" t="s">
        <v>64</v>
      </c>
      <c r="D768" t="s">
        <v>52</v>
      </c>
      <c r="E768" t="s">
        <v>92</v>
      </c>
      <c r="F768" t="s">
        <v>112</v>
      </c>
      <c r="G768">
        <v>1</v>
      </c>
      <c r="H768">
        <v>3567</v>
      </c>
      <c r="I768">
        <v>3567</v>
      </c>
    </row>
    <row r="769" spans="1:9" x14ac:dyDescent="0.3">
      <c r="A769">
        <v>1010</v>
      </c>
      <c r="B769" t="s">
        <v>86</v>
      </c>
      <c r="C769" t="s">
        <v>422</v>
      </c>
      <c r="D769" t="s">
        <v>35</v>
      </c>
      <c r="E769" t="s">
        <v>136</v>
      </c>
      <c r="F769" t="s">
        <v>46</v>
      </c>
      <c r="G769">
        <v>1</v>
      </c>
      <c r="H769">
        <v>3919</v>
      </c>
      <c r="I769">
        <v>3919</v>
      </c>
    </row>
    <row r="770" spans="1:9" x14ac:dyDescent="0.3">
      <c r="A770">
        <v>1110</v>
      </c>
      <c r="B770" t="s">
        <v>160</v>
      </c>
      <c r="C770" t="s">
        <v>354</v>
      </c>
      <c r="D770" t="s">
        <v>11</v>
      </c>
      <c r="E770" t="s">
        <v>31</v>
      </c>
      <c r="F770" t="s">
        <v>57</v>
      </c>
      <c r="G770">
        <v>5</v>
      </c>
      <c r="H770">
        <v>2299</v>
      </c>
      <c r="I770">
        <v>11495</v>
      </c>
    </row>
    <row r="771" spans="1:9" x14ac:dyDescent="0.3">
      <c r="A771">
        <v>1455</v>
      </c>
      <c r="B771" t="s">
        <v>90</v>
      </c>
      <c r="C771" t="s">
        <v>135</v>
      </c>
      <c r="D771" t="s">
        <v>11</v>
      </c>
      <c r="E771" t="s">
        <v>17</v>
      </c>
      <c r="F771" t="s">
        <v>72</v>
      </c>
      <c r="G771">
        <v>3</v>
      </c>
      <c r="H771">
        <v>4988</v>
      </c>
      <c r="I771">
        <v>14964</v>
      </c>
    </row>
    <row r="772" spans="1:9" x14ac:dyDescent="0.3">
      <c r="A772">
        <v>1366</v>
      </c>
      <c r="B772" t="s">
        <v>461</v>
      </c>
      <c r="C772" t="s">
        <v>504</v>
      </c>
      <c r="D772" t="s">
        <v>30</v>
      </c>
      <c r="E772" t="s">
        <v>140</v>
      </c>
      <c r="F772" t="s">
        <v>114</v>
      </c>
      <c r="G772">
        <v>5</v>
      </c>
      <c r="H772">
        <v>3009</v>
      </c>
      <c r="I772">
        <v>15045</v>
      </c>
    </row>
    <row r="773" spans="1:9" x14ac:dyDescent="0.3">
      <c r="A773">
        <v>1530</v>
      </c>
      <c r="B773" t="s">
        <v>192</v>
      </c>
      <c r="C773" t="s">
        <v>66</v>
      </c>
      <c r="D773" t="s">
        <v>42</v>
      </c>
      <c r="E773" t="s">
        <v>39</v>
      </c>
      <c r="F773" t="s">
        <v>72</v>
      </c>
      <c r="G773">
        <v>4</v>
      </c>
      <c r="H773">
        <v>3016</v>
      </c>
      <c r="I773">
        <v>12064</v>
      </c>
    </row>
    <row r="774" spans="1:9" x14ac:dyDescent="0.3">
      <c r="A774">
        <v>1206</v>
      </c>
      <c r="B774" t="s">
        <v>98</v>
      </c>
      <c r="C774" t="s">
        <v>162</v>
      </c>
      <c r="D774" t="s">
        <v>35</v>
      </c>
      <c r="E774" t="s">
        <v>140</v>
      </c>
      <c r="F774" t="s">
        <v>53</v>
      </c>
      <c r="G774">
        <v>5</v>
      </c>
      <c r="H774">
        <v>4837</v>
      </c>
      <c r="I774">
        <v>24185</v>
      </c>
    </row>
    <row r="775" spans="1:9" x14ac:dyDescent="0.3">
      <c r="A775">
        <v>1428</v>
      </c>
      <c r="B775" t="s">
        <v>195</v>
      </c>
      <c r="C775" t="s">
        <v>527</v>
      </c>
      <c r="D775" t="s">
        <v>62</v>
      </c>
      <c r="E775" t="s">
        <v>83</v>
      </c>
      <c r="F775" t="s">
        <v>78</v>
      </c>
      <c r="G775">
        <v>2</v>
      </c>
      <c r="H775">
        <v>230</v>
      </c>
      <c r="I775">
        <v>460</v>
      </c>
    </row>
    <row r="776" spans="1:9" x14ac:dyDescent="0.3">
      <c r="A776">
        <v>1477</v>
      </c>
      <c r="B776" t="s">
        <v>616</v>
      </c>
      <c r="C776" t="s">
        <v>44</v>
      </c>
      <c r="D776" t="s">
        <v>52</v>
      </c>
      <c r="E776" t="s">
        <v>100</v>
      </c>
      <c r="F776" t="s">
        <v>53</v>
      </c>
      <c r="G776">
        <v>2</v>
      </c>
      <c r="H776">
        <v>3479</v>
      </c>
      <c r="I776">
        <v>6958</v>
      </c>
    </row>
    <row r="777" spans="1:9" x14ac:dyDescent="0.3">
      <c r="A777">
        <v>1371</v>
      </c>
      <c r="B777" t="s">
        <v>617</v>
      </c>
      <c r="C777" t="s">
        <v>397</v>
      </c>
      <c r="D777" t="s">
        <v>11</v>
      </c>
      <c r="E777" t="s">
        <v>89</v>
      </c>
      <c r="F777" t="s">
        <v>27</v>
      </c>
      <c r="G777">
        <v>3</v>
      </c>
      <c r="H777">
        <v>3807</v>
      </c>
      <c r="I777">
        <v>11421</v>
      </c>
    </row>
    <row r="778" spans="1:9" x14ac:dyDescent="0.3">
      <c r="A778">
        <v>1368</v>
      </c>
      <c r="B778" t="s">
        <v>106</v>
      </c>
      <c r="C778" t="s">
        <v>305</v>
      </c>
      <c r="D778" t="s">
        <v>30</v>
      </c>
      <c r="E778" t="s">
        <v>31</v>
      </c>
      <c r="F778" t="s">
        <v>93</v>
      </c>
      <c r="G778">
        <v>2</v>
      </c>
      <c r="H778">
        <v>1993</v>
      </c>
      <c r="I778">
        <v>3986</v>
      </c>
    </row>
    <row r="779" spans="1:9" x14ac:dyDescent="0.3">
      <c r="A779">
        <v>1347</v>
      </c>
      <c r="B779" t="s">
        <v>618</v>
      </c>
      <c r="C779" t="s">
        <v>135</v>
      </c>
      <c r="D779" t="s">
        <v>11</v>
      </c>
      <c r="E779" t="s">
        <v>17</v>
      </c>
      <c r="F779" t="s">
        <v>114</v>
      </c>
      <c r="G779">
        <v>3</v>
      </c>
      <c r="H779">
        <v>1028</v>
      </c>
      <c r="I779">
        <v>3084</v>
      </c>
    </row>
    <row r="780" spans="1:9" x14ac:dyDescent="0.3">
      <c r="A780">
        <v>1388</v>
      </c>
      <c r="B780" t="s">
        <v>540</v>
      </c>
      <c r="C780" t="s">
        <v>187</v>
      </c>
      <c r="D780" t="s">
        <v>30</v>
      </c>
      <c r="E780" t="s">
        <v>31</v>
      </c>
      <c r="F780" t="s">
        <v>112</v>
      </c>
      <c r="G780">
        <v>4</v>
      </c>
      <c r="H780">
        <v>2167</v>
      </c>
      <c r="I780">
        <v>8668</v>
      </c>
    </row>
    <row r="781" spans="1:9" x14ac:dyDescent="0.3">
      <c r="A781">
        <v>1175</v>
      </c>
      <c r="B781" t="s">
        <v>558</v>
      </c>
      <c r="C781" t="s">
        <v>175</v>
      </c>
      <c r="D781" t="s">
        <v>11</v>
      </c>
      <c r="E781" t="s">
        <v>136</v>
      </c>
      <c r="F781" t="s">
        <v>124</v>
      </c>
      <c r="G781">
        <v>2</v>
      </c>
      <c r="H781">
        <v>1753</v>
      </c>
      <c r="I781">
        <v>3506</v>
      </c>
    </row>
    <row r="782" spans="1:9" x14ac:dyDescent="0.3">
      <c r="A782">
        <v>1383</v>
      </c>
      <c r="B782" t="s">
        <v>209</v>
      </c>
      <c r="C782" t="s">
        <v>256</v>
      </c>
      <c r="D782" t="s">
        <v>16</v>
      </c>
      <c r="E782" t="s">
        <v>136</v>
      </c>
      <c r="F782" t="s">
        <v>128</v>
      </c>
      <c r="G782">
        <v>5</v>
      </c>
      <c r="H782">
        <v>2609</v>
      </c>
      <c r="I782">
        <v>13045</v>
      </c>
    </row>
    <row r="783" spans="1:9" x14ac:dyDescent="0.3">
      <c r="A783">
        <v>1054</v>
      </c>
      <c r="B783" t="s">
        <v>200</v>
      </c>
      <c r="C783" t="s">
        <v>581</v>
      </c>
      <c r="D783" t="s">
        <v>16</v>
      </c>
      <c r="E783" t="s">
        <v>26</v>
      </c>
      <c r="F783" t="s">
        <v>13</v>
      </c>
      <c r="G783">
        <v>1</v>
      </c>
      <c r="H783">
        <v>4055</v>
      </c>
      <c r="I783">
        <v>4055</v>
      </c>
    </row>
    <row r="784" spans="1:9" x14ac:dyDescent="0.3">
      <c r="A784">
        <v>1171</v>
      </c>
      <c r="B784" t="s">
        <v>607</v>
      </c>
      <c r="C784" t="s">
        <v>276</v>
      </c>
      <c r="D784" t="s">
        <v>11</v>
      </c>
      <c r="E784" t="s">
        <v>26</v>
      </c>
      <c r="F784" t="s">
        <v>75</v>
      </c>
      <c r="G784">
        <v>3</v>
      </c>
      <c r="H784">
        <v>3262</v>
      </c>
      <c r="I784">
        <v>9786</v>
      </c>
    </row>
    <row r="785" spans="1:9" x14ac:dyDescent="0.3">
      <c r="A785">
        <v>1506</v>
      </c>
      <c r="B785" t="s">
        <v>465</v>
      </c>
      <c r="C785" t="s">
        <v>206</v>
      </c>
      <c r="D785" t="s">
        <v>16</v>
      </c>
      <c r="E785" t="s">
        <v>136</v>
      </c>
      <c r="F785" t="s">
        <v>67</v>
      </c>
      <c r="G785">
        <v>2</v>
      </c>
      <c r="H785">
        <v>1862</v>
      </c>
      <c r="I785">
        <v>3724</v>
      </c>
    </row>
    <row r="786" spans="1:9" x14ac:dyDescent="0.3">
      <c r="A786">
        <v>1223</v>
      </c>
      <c r="B786" t="s">
        <v>170</v>
      </c>
      <c r="C786" t="s">
        <v>516</v>
      </c>
      <c r="D786" t="s">
        <v>35</v>
      </c>
      <c r="E786" t="s">
        <v>49</v>
      </c>
      <c r="F786" t="s">
        <v>67</v>
      </c>
      <c r="G786">
        <v>3</v>
      </c>
      <c r="H786">
        <v>4710</v>
      </c>
      <c r="I786">
        <v>14130</v>
      </c>
    </row>
    <row r="787" spans="1:9" x14ac:dyDescent="0.3">
      <c r="A787">
        <v>1302</v>
      </c>
      <c r="B787" t="s">
        <v>217</v>
      </c>
      <c r="C787" t="s">
        <v>619</v>
      </c>
      <c r="D787" t="s">
        <v>62</v>
      </c>
      <c r="E787" t="s">
        <v>89</v>
      </c>
      <c r="F787" t="s">
        <v>13</v>
      </c>
      <c r="G787">
        <v>5</v>
      </c>
      <c r="H787">
        <v>2955</v>
      </c>
      <c r="I787">
        <v>14775</v>
      </c>
    </row>
    <row r="788" spans="1:9" x14ac:dyDescent="0.3">
      <c r="A788">
        <v>1418</v>
      </c>
      <c r="B788" t="s">
        <v>431</v>
      </c>
      <c r="C788" t="s">
        <v>321</v>
      </c>
      <c r="D788" t="s">
        <v>52</v>
      </c>
      <c r="E788" t="s">
        <v>21</v>
      </c>
      <c r="F788" t="s">
        <v>22</v>
      </c>
      <c r="G788">
        <v>1</v>
      </c>
      <c r="H788">
        <v>1671</v>
      </c>
      <c r="I788">
        <v>1671</v>
      </c>
    </row>
    <row r="789" spans="1:9" x14ac:dyDescent="0.3">
      <c r="A789">
        <v>1077</v>
      </c>
      <c r="B789" t="s">
        <v>541</v>
      </c>
      <c r="C789" t="s">
        <v>111</v>
      </c>
      <c r="D789" t="s">
        <v>30</v>
      </c>
      <c r="E789" t="s">
        <v>83</v>
      </c>
      <c r="F789" t="s">
        <v>112</v>
      </c>
      <c r="G789">
        <v>2</v>
      </c>
      <c r="H789">
        <v>1006</v>
      </c>
      <c r="I789">
        <v>2012</v>
      </c>
    </row>
    <row r="790" spans="1:9" x14ac:dyDescent="0.3">
      <c r="A790">
        <v>1559</v>
      </c>
      <c r="B790" t="s">
        <v>462</v>
      </c>
      <c r="C790" t="s">
        <v>265</v>
      </c>
      <c r="D790" t="s">
        <v>30</v>
      </c>
      <c r="E790" t="s">
        <v>100</v>
      </c>
      <c r="F790" t="s">
        <v>101</v>
      </c>
      <c r="G790">
        <v>3</v>
      </c>
      <c r="H790">
        <v>1761</v>
      </c>
      <c r="I790">
        <v>5283</v>
      </c>
    </row>
    <row r="791" spans="1:9" x14ac:dyDescent="0.3">
      <c r="A791">
        <v>1556</v>
      </c>
      <c r="B791" t="s">
        <v>377</v>
      </c>
      <c r="C791" t="s">
        <v>530</v>
      </c>
      <c r="E791" t="s">
        <v>36</v>
      </c>
      <c r="F791" t="s">
        <v>95</v>
      </c>
      <c r="G791">
        <v>4</v>
      </c>
      <c r="H791">
        <v>4950</v>
      </c>
      <c r="I791">
        <v>19800</v>
      </c>
    </row>
    <row r="792" spans="1:9" x14ac:dyDescent="0.3">
      <c r="A792">
        <v>1524</v>
      </c>
      <c r="B792" t="s">
        <v>576</v>
      </c>
      <c r="C792" t="s">
        <v>116</v>
      </c>
      <c r="D792" t="s">
        <v>16</v>
      </c>
      <c r="E792" t="s">
        <v>49</v>
      </c>
      <c r="F792" t="s">
        <v>128</v>
      </c>
      <c r="G792">
        <v>4</v>
      </c>
      <c r="H792">
        <v>2114</v>
      </c>
      <c r="I792">
        <v>8456</v>
      </c>
    </row>
    <row r="793" spans="1:9" x14ac:dyDescent="0.3">
      <c r="A793">
        <v>1479</v>
      </c>
      <c r="B793" t="s">
        <v>81</v>
      </c>
      <c r="C793" t="s">
        <v>162</v>
      </c>
      <c r="D793" t="s">
        <v>52</v>
      </c>
      <c r="E793" t="s">
        <v>31</v>
      </c>
      <c r="F793" t="s">
        <v>112</v>
      </c>
      <c r="G793">
        <v>4</v>
      </c>
      <c r="H793">
        <v>1916</v>
      </c>
      <c r="I793">
        <v>7664</v>
      </c>
    </row>
    <row r="794" spans="1:9" x14ac:dyDescent="0.3">
      <c r="A794">
        <v>1030</v>
      </c>
      <c r="B794" t="s">
        <v>362</v>
      </c>
      <c r="C794" t="s">
        <v>146</v>
      </c>
      <c r="D794" t="s">
        <v>62</v>
      </c>
      <c r="E794" t="s">
        <v>17</v>
      </c>
      <c r="F794" t="s">
        <v>101</v>
      </c>
      <c r="G794">
        <v>3</v>
      </c>
      <c r="H794">
        <v>2983</v>
      </c>
      <c r="I794">
        <v>8949</v>
      </c>
    </row>
    <row r="795" spans="1:9" x14ac:dyDescent="0.3">
      <c r="A795">
        <v>1413</v>
      </c>
      <c r="B795" t="s">
        <v>421</v>
      </c>
      <c r="C795" t="s">
        <v>365</v>
      </c>
      <c r="D795" t="s">
        <v>42</v>
      </c>
      <c r="E795" t="s">
        <v>89</v>
      </c>
      <c r="F795" t="s">
        <v>95</v>
      </c>
      <c r="G795">
        <v>2</v>
      </c>
      <c r="H795">
        <v>1459</v>
      </c>
      <c r="I795">
        <v>2918</v>
      </c>
    </row>
    <row r="796" spans="1:9" x14ac:dyDescent="0.3">
      <c r="A796">
        <v>1581</v>
      </c>
      <c r="B796" t="s">
        <v>200</v>
      </c>
      <c r="C796" t="s">
        <v>395</v>
      </c>
      <c r="D796" t="s">
        <v>52</v>
      </c>
      <c r="E796" t="s">
        <v>49</v>
      </c>
      <c r="F796" t="s">
        <v>46</v>
      </c>
      <c r="G796">
        <v>1</v>
      </c>
      <c r="H796">
        <v>4578</v>
      </c>
      <c r="I796">
        <v>4578</v>
      </c>
    </row>
    <row r="797" spans="1:9" x14ac:dyDescent="0.3">
      <c r="A797">
        <v>1336</v>
      </c>
      <c r="B797" t="s">
        <v>620</v>
      </c>
      <c r="C797" t="s">
        <v>386</v>
      </c>
      <c r="D797" t="s">
        <v>11</v>
      </c>
      <c r="E797" t="s">
        <v>136</v>
      </c>
      <c r="F797" t="s">
        <v>22</v>
      </c>
      <c r="G797">
        <v>1</v>
      </c>
      <c r="H797">
        <v>4729</v>
      </c>
      <c r="I797">
        <v>4729</v>
      </c>
    </row>
    <row r="798" spans="1:9" x14ac:dyDescent="0.3">
      <c r="A798">
        <v>1500</v>
      </c>
      <c r="B798" t="s">
        <v>313</v>
      </c>
      <c r="C798" t="s">
        <v>390</v>
      </c>
      <c r="D798" t="s">
        <v>30</v>
      </c>
      <c r="E798" t="s">
        <v>140</v>
      </c>
      <c r="F798" t="s">
        <v>72</v>
      </c>
      <c r="G798">
        <v>2</v>
      </c>
      <c r="H798">
        <v>2109</v>
      </c>
      <c r="I798">
        <v>4218</v>
      </c>
    </row>
    <row r="799" spans="1:9" x14ac:dyDescent="0.3">
      <c r="A799">
        <v>1465</v>
      </c>
      <c r="B799" t="s">
        <v>621</v>
      </c>
      <c r="C799" t="s">
        <v>587</v>
      </c>
      <c r="D799" t="s">
        <v>52</v>
      </c>
      <c r="E799" t="s">
        <v>56</v>
      </c>
      <c r="F799" t="s">
        <v>93</v>
      </c>
      <c r="G799">
        <v>4</v>
      </c>
      <c r="H799">
        <v>1486</v>
      </c>
      <c r="I799">
        <v>5944</v>
      </c>
    </row>
    <row r="800" spans="1:9" x14ac:dyDescent="0.3">
      <c r="A800">
        <v>1428</v>
      </c>
      <c r="B800" t="s">
        <v>531</v>
      </c>
      <c r="C800" t="s">
        <v>210</v>
      </c>
      <c r="D800" t="s">
        <v>11</v>
      </c>
      <c r="E800" t="s">
        <v>31</v>
      </c>
      <c r="F800" t="s">
        <v>78</v>
      </c>
      <c r="G800">
        <v>2</v>
      </c>
      <c r="H800">
        <v>2737</v>
      </c>
      <c r="I800">
        <v>5474</v>
      </c>
    </row>
    <row r="801" spans="1:9" x14ac:dyDescent="0.3">
      <c r="A801">
        <v>1486</v>
      </c>
      <c r="B801" t="s">
        <v>19</v>
      </c>
      <c r="C801" t="s">
        <v>24</v>
      </c>
      <c r="D801" t="s">
        <v>62</v>
      </c>
      <c r="E801" t="s">
        <v>12</v>
      </c>
      <c r="G801">
        <v>3</v>
      </c>
      <c r="H801">
        <v>1852</v>
      </c>
      <c r="I801">
        <v>5556</v>
      </c>
    </row>
    <row r="802" spans="1:9" x14ac:dyDescent="0.3">
      <c r="A802">
        <v>1065</v>
      </c>
      <c r="B802" t="s">
        <v>137</v>
      </c>
      <c r="C802" t="s">
        <v>24</v>
      </c>
      <c r="D802" t="s">
        <v>62</v>
      </c>
      <c r="E802" t="s">
        <v>100</v>
      </c>
      <c r="F802" t="s">
        <v>18</v>
      </c>
      <c r="G802">
        <v>4</v>
      </c>
      <c r="H802">
        <v>3990</v>
      </c>
      <c r="I802">
        <v>15960</v>
      </c>
    </row>
    <row r="803" spans="1:9" x14ac:dyDescent="0.3">
      <c r="A803">
        <v>1294</v>
      </c>
      <c r="B803" t="s">
        <v>398</v>
      </c>
      <c r="C803" t="s">
        <v>99</v>
      </c>
      <c r="D803" t="s">
        <v>52</v>
      </c>
      <c r="E803" t="s">
        <v>21</v>
      </c>
      <c r="F803" t="s">
        <v>22</v>
      </c>
      <c r="G803">
        <v>5</v>
      </c>
      <c r="H803">
        <v>1634</v>
      </c>
      <c r="I803">
        <v>8170</v>
      </c>
    </row>
    <row r="804" spans="1:9" x14ac:dyDescent="0.3">
      <c r="A804">
        <v>1442</v>
      </c>
      <c r="B804" t="s">
        <v>96</v>
      </c>
      <c r="C804" t="s">
        <v>422</v>
      </c>
      <c r="D804" t="s">
        <v>52</v>
      </c>
      <c r="E804" t="s">
        <v>17</v>
      </c>
      <c r="F804" t="s">
        <v>18</v>
      </c>
      <c r="G804">
        <v>1</v>
      </c>
      <c r="H804">
        <v>2163</v>
      </c>
      <c r="I804">
        <v>2163</v>
      </c>
    </row>
    <row r="805" spans="1:9" x14ac:dyDescent="0.3">
      <c r="A805">
        <v>1550</v>
      </c>
      <c r="B805" t="s">
        <v>611</v>
      </c>
      <c r="C805" t="s">
        <v>103</v>
      </c>
      <c r="D805" t="s">
        <v>52</v>
      </c>
      <c r="E805" t="s">
        <v>92</v>
      </c>
      <c r="F805" t="s">
        <v>93</v>
      </c>
      <c r="G805">
        <v>5</v>
      </c>
      <c r="H805">
        <v>1193</v>
      </c>
      <c r="I805">
        <v>5965</v>
      </c>
    </row>
    <row r="806" spans="1:9" x14ac:dyDescent="0.3">
      <c r="A806">
        <v>1107</v>
      </c>
      <c r="B806" t="s">
        <v>437</v>
      </c>
      <c r="C806" t="s">
        <v>323</v>
      </c>
      <c r="D806" t="s">
        <v>11</v>
      </c>
      <c r="E806" t="s">
        <v>26</v>
      </c>
      <c r="F806" t="s">
        <v>75</v>
      </c>
      <c r="G806">
        <v>3</v>
      </c>
      <c r="H806">
        <v>1898</v>
      </c>
      <c r="I806">
        <v>5694</v>
      </c>
    </row>
    <row r="807" spans="1:9" x14ac:dyDescent="0.3">
      <c r="A807">
        <v>1074</v>
      </c>
      <c r="B807" t="s">
        <v>467</v>
      </c>
      <c r="C807" t="s">
        <v>547</v>
      </c>
      <c r="D807" t="s">
        <v>52</v>
      </c>
      <c r="E807" t="s">
        <v>21</v>
      </c>
      <c r="F807" t="s">
        <v>46</v>
      </c>
      <c r="G807">
        <v>2</v>
      </c>
      <c r="H807">
        <v>3449</v>
      </c>
      <c r="I807">
        <v>6898</v>
      </c>
    </row>
    <row r="808" spans="1:9" x14ac:dyDescent="0.3">
      <c r="A808">
        <v>1139</v>
      </c>
      <c r="B808" t="s">
        <v>153</v>
      </c>
      <c r="C808" t="s">
        <v>356</v>
      </c>
      <c r="D808" t="s">
        <v>25</v>
      </c>
      <c r="E808" t="s">
        <v>45</v>
      </c>
      <c r="F808" t="s">
        <v>46</v>
      </c>
      <c r="G808">
        <v>1</v>
      </c>
      <c r="H808">
        <v>4692</v>
      </c>
      <c r="I808">
        <v>4692</v>
      </c>
    </row>
    <row r="809" spans="1:9" x14ac:dyDescent="0.3">
      <c r="A809">
        <v>1448</v>
      </c>
      <c r="B809" t="s">
        <v>622</v>
      </c>
      <c r="C809" t="s">
        <v>430</v>
      </c>
      <c r="D809" t="s">
        <v>42</v>
      </c>
      <c r="E809" t="s">
        <v>12</v>
      </c>
      <c r="F809" t="s">
        <v>13</v>
      </c>
      <c r="G809">
        <v>5</v>
      </c>
      <c r="H809">
        <v>1023</v>
      </c>
      <c r="I809">
        <v>5115</v>
      </c>
    </row>
    <row r="810" spans="1:9" x14ac:dyDescent="0.3">
      <c r="A810">
        <v>1400</v>
      </c>
      <c r="B810" t="s">
        <v>393</v>
      </c>
      <c r="C810" t="s">
        <v>623</v>
      </c>
      <c r="D810" t="s">
        <v>62</v>
      </c>
      <c r="E810" t="s">
        <v>31</v>
      </c>
      <c r="F810" t="s">
        <v>112</v>
      </c>
      <c r="G810">
        <v>3</v>
      </c>
      <c r="H810">
        <v>1657</v>
      </c>
      <c r="I810">
        <v>4971</v>
      </c>
    </row>
    <row r="811" spans="1:9" x14ac:dyDescent="0.3">
      <c r="A811">
        <v>1545</v>
      </c>
      <c r="B811" t="s">
        <v>440</v>
      </c>
      <c r="C811" t="s">
        <v>199</v>
      </c>
      <c r="E811" t="s">
        <v>83</v>
      </c>
      <c r="F811" t="s">
        <v>57</v>
      </c>
      <c r="G811">
        <v>3</v>
      </c>
      <c r="H811">
        <v>3837</v>
      </c>
      <c r="I811">
        <v>11511</v>
      </c>
    </row>
    <row r="812" spans="1:9" x14ac:dyDescent="0.3">
      <c r="A812">
        <v>1386</v>
      </c>
      <c r="B812" t="s">
        <v>494</v>
      </c>
      <c r="C812" t="s">
        <v>624</v>
      </c>
      <c r="D812" t="s">
        <v>16</v>
      </c>
      <c r="E812" t="s">
        <v>39</v>
      </c>
      <c r="F812" t="s">
        <v>101</v>
      </c>
      <c r="G812">
        <v>1</v>
      </c>
      <c r="H812">
        <v>331</v>
      </c>
      <c r="I812">
        <v>331</v>
      </c>
    </row>
    <row r="813" spans="1:9" x14ac:dyDescent="0.3">
      <c r="A813">
        <v>1345</v>
      </c>
      <c r="B813" t="s">
        <v>625</v>
      </c>
      <c r="C813" t="s">
        <v>351</v>
      </c>
      <c r="D813" t="s">
        <v>11</v>
      </c>
      <c r="E813" t="s">
        <v>83</v>
      </c>
      <c r="F813" t="s">
        <v>93</v>
      </c>
      <c r="G813">
        <v>2</v>
      </c>
      <c r="H813">
        <v>560</v>
      </c>
      <c r="I813">
        <v>1120</v>
      </c>
    </row>
    <row r="814" spans="1:9" x14ac:dyDescent="0.3">
      <c r="A814">
        <v>1334</v>
      </c>
      <c r="B814" t="s">
        <v>448</v>
      </c>
      <c r="C814" t="s">
        <v>491</v>
      </c>
      <c r="D814" t="s">
        <v>52</v>
      </c>
      <c r="E814" t="s">
        <v>39</v>
      </c>
      <c r="F814" t="s">
        <v>18</v>
      </c>
      <c r="G814">
        <v>4</v>
      </c>
      <c r="H814">
        <v>1189</v>
      </c>
      <c r="I814">
        <v>4756</v>
      </c>
    </row>
    <row r="815" spans="1:9" x14ac:dyDescent="0.3">
      <c r="A815">
        <v>1331</v>
      </c>
      <c r="B815" t="s">
        <v>626</v>
      </c>
      <c r="C815" t="s">
        <v>354</v>
      </c>
      <c r="D815" t="s">
        <v>52</v>
      </c>
      <c r="E815" t="s">
        <v>136</v>
      </c>
      <c r="F815" t="s">
        <v>22</v>
      </c>
      <c r="G815">
        <v>2</v>
      </c>
      <c r="H815">
        <v>3958</v>
      </c>
      <c r="I815">
        <v>7916</v>
      </c>
    </row>
    <row r="816" spans="1:9" x14ac:dyDescent="0.3">
      <c r="A816">
        <v>1285</v>
      </c>
      <c r="B816" t="s">
        <v>627</v>
      </c>
      <c r="C816" t="s">
        <v>477</v>
      </c>
      <c r="D816" t="s">
        <v>16</v>
      </c>
      <c r="E816" t="s">
        <v>89</v>
      </c>
      <c r="F816" t="s">
        <v>27</v>
      </c>
      <c r="G816">
        <v>4</v>
      </c>
      <c r="H816">
        <v>2670</v>
      </c>
      <c r="I816">
        <v>10680</v>
      </c>
    </row>
    <row r="817" spans="1:9" x14ac:dyDescent="0.3">
      <c r="A817">
        <v>1104</v>
      </c>
      <c r="B817" t="s">
        <v>435</v>
      </c>
      <c r="C817" t="s">
        <v>365</v>
      </c>
      <c r="D817" t="s">
        <v>35</v>
      </c>
      <c r="E817" t="s">
        <v>17</v>
      </c>
      <c r="F817" t="s">
        <v>101</v>
      </c>
      <c r="G817">
        <v>4</v>
      </c>
      <c r="H817">
        <v>1288</v>
      </c>
      <c r="I817">
        <v>5152</v>
      </c>
    </row>
    <row r="818" spans="1:9" x14ac:dyDescent="0.3">
      <c r="A818">
        <v>1325</v>
      </c>
      <c r="B818" t="s">
        <v>628</v>
      </c>
      <c r="C818" t="s">
        <v>544</v>
      </c>
      <c r="D818" t="s">
        <v>62</v>
      </c>
      <c r="E818" t="s">
        <v>83</v>
      </c>
      <c r="F818" t="s">
        <v>112</v>
      </c>
      <c r="G818">
        <v>4</v>
      </c>
      <c r="H818">
        <v>4386</v>
      </c>
      <c r="I818">
        <v>17544</v>
      </c>
    </row>
    <row r="819" spans="1:9" x14ac:dyDescent="0.3">
      <c r="A819">
        <v>1013</v>
      </c>
      <c r="B819" t="s">
        <v>285</v>
      </c>
      <c r="C819" t="s">
        <v>584</v>
      </c>
      <c r="D819" t="s">
        <v>52</v>
      </c>
      <c r="E819" t="s">
        <v>31</v>
      </c>
      <c r="F819" t="s">
        <v>112</v>
      </c>
      <c r="G819">
        <v>2</v>
      </c>
      <c r="H819">
        <v>850</v>
      </c>
      <c r="I819">
        <v>1700</v>
      </c>
    </row>
    <row r="820" spans="1:9" x14ac:dyDescent="0.3">
      <c r="A820">
        <v>1303</v>
      </c>
      <c r="B820" t="s">
        <v>494</v>
      </c>
      <c r="C820" t="s">
        <v>339</v>
      </c>
      <c r="D820" t="s">
        <v>16</v>
      </c>
      <c r="E820" t="s">
        <v>136</v>
      </c>
      <c r="F820" t="s">
        <v>128</v>
      </c>
      <c r="G820">
        <v>5</v>
      </c>
      <c r="H820">
        <v>3835</v>
      </c>
      <c r="I820">
        <v>19175</v>
      </c>
    </row>
    <row r="821" spans="1:9" x14ac:dyDescent="0.3">
      <c r="A821">
        <v>1284</v>
      </c>
      <c r="B821" t="s">
        <v>209</v>
      </c>
      <c r="C821" t="s">
        <v>119</v>
      </c>
      <c r="D821" t="s">
        <v>30</v>
      </c>
      <c r="E821" t="s">
        <v>92</v>
      </c>
      <c r="F821" t="s">
        <v>57</v>
      </c>
      <c r="G821">
        <v>1</v>
      </c>
      <c r="H821">
        <v>2076</v>
      </c>
      <c r="I821">
        <v>2076</v>
      </c>
    </row>
    <row r="822" spans="1:9" x14ac:dyDescent="0.3">
      <c r="A822">
        <v>1248</v>
      </c>
      <c r="B822" t="s">
        <v>413</v>
      </c>
      <c r="C822" t="s">
        <v>550</v>
      </c>
      <c r="D822" t="s">
        <v>52</v>
      </c>
      <c r="E822" t="s">
        <v>31</v>
      </c>
      <c r="F822" t="s">
        <v>93</v>
      </c>
      <c r="G822">
        <v>5</v>
      </c>
      <c r="H822">
        <v>2834</v>
      </c>
      <c r="I822">
        <v>14170</v>
      </c>
    </row>
    <row r="823" spans="1:9" x14ac:dyDescent="0.3">
      <c r="A823">
        <v>1066</v>
      </c>
      <c r="B823" t="s">
        <v>629</v>
      </c>
      <c r="C823" t="s">
        <v>91</v>
      </c>
      <c r="D823" t="s">
        <v>16</v>
      </c>
      <c r="E823" t="s">
        <v>39</v>
      </c>
      <c r="F823" t="s">
        <v>72</v>
      </c>
      <c r="G823">
        <v>2</v>
      </c>
      <c r="H823">
        <v>951</v>
      </c>
      <c r="I823">
        <v>1902</v>
      </c>
    </row>
    <row r="824" spans="1:9" x14ac:dyDescent="0.3">
      <c r="A824">
        <v>1209</v>
      </c>
      <c r="B824" t="s">
        <v>266</v>
      </c>
      <c r="C824" t="s">
        <v>562</v>
      </c>
      <c r="D824" t="s">
        <v>30</v>
      </c>
      <c r="E824" t="s">
        <v>92</v>
      </c>
      <c r="F824" t="s">
        <v>78</v>
      </c>
      <c r="G824">
        <v>2</v>
      </c>
      <c r="H824">
        <v>1818</v>
      </c>
      <c r="I824">
        <v>3636</v>
      </c>
    </row>
    <row r="825" spans="1:9" x14ac:dyDescent="0.3">
      <c r="A825">
        <v>1254</v>
      </c>
      <c r="B825" t="s">
        <v>529</v>
      </c>
      <c r="C825" t="s">
        <v>87</v>
      </c>
      <c r="D825" t="s">
        <v>62</v>
      </c>
      <c r="E825" t="s">
        <v>21</v>
      </c>
      <c r="F825" t="s">
        <v>128</v>
      </c>
      <c r="G825">
        <v>1</v>
      </c>
      <c r="H825">
        <v>3145</v>
      </c>
      <c r="I825">
        <v>3145</v>
      </c>
    </row>
    <row r="826" spans="1:9" x14ac:dyDescent="0.3">
      <c r="A826">
        <v>1451</v>
      </c>
      <c r="B826" t="s">
        <v>466</v>
      </c>
      <c r="C826" t="s">
        <v>562</v>
      </c>
      <c r="D826" t="s">
        <v>42</v>
      </c>
      <c r="E826" t="s">
        <v>45</v>
      </c>
      <c r="F826" t="s">
        <v>128</v>
      </c>
      <c r="G826">
        <v>4</v>
      </c>
      <c r="H826">
        <v>3701</v>
      </c>
      <c r="I826">
        <v>14804</v>
      </c>
    </row>
    <row r="827" spans="1:9" x14ac:dyDescent="0.3">
      <c r="A827">
        <v>1307</v>
      </c>
      <c r="B827" t="s">
        <v>555</v>
      </c>
      <c r="C827" t="s">
        <v>365</v>
      </c>
      <c r="D827" t="s">
        <v>30</v>
      </c>
      <c r="E827" t="s">
        <v>39</v>
      </c>
      <c r="F827" t="s">
        <v>18</v>
      </c>
      <c r="G827">
        <v>4</v>
      </c>
      <c r="H827">
        <v>3998</v>
      </c>
      <c r="I827">
        <v>15992</v>
      </c>
    </row>
    <row r="828" spans="1:9" x14ac:dyDescent="0.3">
      <c r="A828">
        <v>1575</v>
      </c>
      <c r="B828" t="s">
        <v>129</v>
      </c>
      <c r="C828" t="s">
        <v>544</v>
      </c>
      <c r="E828" t="s">
        <v>31</v>
      </c>
      <c r="F828" t="s">
        <v>112</v>
      </c>
      <c r="G828">
        <v>2</v>
      </c>
      <c r="H828">
        <v>1467</v>
      </c>
      <c r="I828">
        <v>2934</v>
      </c>
    </row>
    <row r="829" spans="1:9" x14ac:dyDescent="0.3">
      <c r="A829">
        <v>1512</v>
      </c>
      <c r="B829" t="s">
        <v>362</v>
      </c>
      <c r="C829" t="s">
        <v>169</v>
      </c>
      <c r="D829" t="s">
        <v>35</v>
      </c>
      <c r="E829" t="s">
        <v>45</v>
      </c>
      <c r="F829" t="s">
        <v>46</v>
      </c>
      <c r="G829">
        <v>4</v>
      </c>
      <c r="H829">
        <v>4210</v>
      </c>
      <c r="I829">
        <v>16840</v>
      </c>
    </row>
    <row r="830" spans="1:9" x14ac:dyDescent="0.3">
      <c r="A830">
        <v>1072</v>
      </c>
      <c r="B830" t="s">
        <v>630</v>
      </c>
      <c r="C830" t="s">
        <v>631</v>
      </c>
      <c r="D830" t="s">
        <v>11</v>
      </c>
      <c r="E830" t="s">
        <v>92</v>
      </c>
      <c r="F830" t="s">
        <v>32</v>
      </c>
      <c r="G830">
        <v>2</v>
      </c>
      <c r="H830">
        <v>3774</v>
      </c>
      <c r="I830">
        <v>7548</v>
      </c>
    </row>
    <row r="831" spans="1:9" x14ac:dyDescent="0.3">
      <c r="A831">
        <v>1356</v>
      </c>
      <c r="B831" t="s">
        <v>607</v>
      </c>
      <c r="C831" t="s">
        <v>381</v>
      </c>
      <c r="D831" t="s">
        <v>52</v>
      </c>
      <c r="E831" t="s">
        <v>136</v>
      </c>
      <c r="F831" t="s">
        <v>22</v>
      </c>
      <c r="G831">
        <v>4</v>
      </c>
      <c r="H831">
        <v>2221</v>
      </c>
      <c r="I831">
        <v>8884</v>
      </c>
    </row>
    <row r="832" spans="1:9" x14ac:dyDescent="0.3">
      <c r="A832">
        <v>1370</v>
      </c>
      <c r="B832" t="s">
        <v>603</v>
      </c>
      <c r="C832" t="s">
        <v>537</v>
      </c>
      <c r="D832" t="s">
        <v>62</v>
      </c>
      <c r="E832" t="s">
        <v>56</v>
      </c>
      <c r="F832" t="s">
        <v>93</v>
      </c>
      <c r="G832">
        <v>2</v>
      </c>
      <c r="H832">
        <v>2283</v>
      </c>
      <c r="I832">
        <v>4566</v>
      </c>
    </row>
    <row r="833" spans="1:9" x14ac:dyDescent="0.3">
      <c r="A833">
        <v>1165</v>
      </c>
      <c r="B833" t="s">
        <v>632</v>
      </c>
      <c r="C833" t="s">
        <v>157</v>
      </c>
      <c r="D833" t="s">
        <v>25</v>
      </c>
      <c r="E833" t="s">
        <v>92</v>
      </c>
      <c r="F833" t="s">
        <v>78</v>
      </c>
      <c r="G833">
        <v>5</v>
      </c>
      <c r="H833">
        <v>1746</v>
      </c>
      <c r="I833">
        <v>8730</v>
      </c>
    </row>
    <row r="834" spans="1:9" x14ac:dyDescent="0.3">
      <c r="A834">
        <v>1437</v>
      </c>
      <c r="B834" t="s">
        <v>277</v>
      </c>
      <c r="C834" t="s">
        <v>547</v>
      </c>
      <c r="D834" t="s">
        <v>30</v>
      </c>
      <c r="E834" t="s">
        <v>26</v>
      </c>
      <c r="F834" t="s">
        <v>133</v>
      </c>
      <c r="G834">
        <v>4</v>
      </c>
      <c r="H834">
        <v>928</v>
      </c>
      <c r="I834">
        <v>3712</v>
      </c>
    </row>
    <row r="835" spans="1:9" x14ac:dyDescent="0.3">
      <c r="A835">
        <v>1352</v>
      </c>
      <c r="B835" t="s">
        <v>219</v>
      </c>
      <c r="C835" t="s">
        <v>206</v>
      </c>
      <c r="D835" t="s">
        <v>42</v>
      </c>
      <c r="E835" t="s">
        <v>100</v>
      </c>
      <c r="G835">
        <v>2</v>
      </c>
      <c r="H835">
        <v>4228</v>
      </c>
      <c r="I835">
        <v>8456</v>
      </c>
    </row>
    <row r="836" spans="1:9" x14ac:dyDescent="0.3">
      <c r="A836">
        <v>1427</v>
      </c>
      <c r="B836" t="s">
        <v>371</v>
      </c>
      <c r="C836" t="s">
        <v>245</v>
      </c>
      <c r="D836" t="s">
        <v>11</v>
      </c>
      <c r="E836" t="s">
        <v>12</v>
      </c>
      <c r="F836" t="s">
        <v>75</v>
      </c>
      <c r="G836">
        <v>3</v>
      </c>
      <c r="H836">
        <v>1726</v>
      </c>
      <c r="I836">
        <v>5178</v>
      </c>
    </row>
    <row r="837" spans="1:9" x14ac:dyDescent="0.3">
      <c r="A837">
        <v>1186</v>
      </c>
      <c r="B837" t="s">
        <v>369</v>
      </c>
      <c r="C837" t="s">
        <v>202</v>
      </c>
      <c r="D837" t="s">
        <v>11</v>
      </c>
      <c r="E837" t="s">
        <v>31</v>
      </c>
      <c r="F837" t="s">
        <v>78</v>
      </c>
      <c r="G837">
        <v>2</v>
      </c>
      <c r="H837">
        <v>683</v>
      </c>
      <c r="I837">
        <v>1366</v>
      </c>
    </row>
    <row r="838" spans="1:9" x14ac:dyDescent="0.3">
      <c r="A838">
        <v>1196</v>
      </c>
      <c r="B838" t="s">
        <v>428</v>
      </c>
      <c r="C838" t="s">
        <v>111</v>
      </c>
      <c r="D838" t="s">
        <v>11</v>
      </c>
      <c r="E838" t="s">
        <v>136</v>
      </c>
      <c r="F838" t="s">
        <v>46</v>
      </c>
      <c r="G838">
        <v>1</v>
      </c>
      <c r="H838">
        <v>2601</v>
      </c>
      <c r="I838">
        <v>2601</v>
      </c>
    </row>
    <row r="839" spans="1:9" x14ac:dyDescent="0.3">
      <c r="A839">
        <v>1065</v>
      </c>
      <c r="B839" t="s">
        <v>546</v>
      </c>
      <c r="C839" t="s">
        <v>442</v>
      </c>
      <c r="D839" t="s">
        <v>25</v>
      </c>
      <c r="E839" t="s">
        <v>140</v>
      </c>
      <c r="F839" t="s">
        <v>53</v>
      </c>
      <c r="G839">
        <v>1</v>
      </c>
      <c r="H839">
        <v>700</v>
      </c>
      <c r="I839">
        <v>700</v>
      </c>
    </row>
    <row r="840" spans="1:9" x14ac:dyDescent="0.3">
      <c r="A840">
        <v>1596</v>
      </c>
      <c r="B840" t="s">
        <v>302</v>
      </c>
      <c r="C840" t="s">
        <v>77</v>
      </c>
      <c r="D840" t="s">
        <v>52</v>
      </c>
      <c r="E840" t="s">
        <v>17</v>
      </c>
      <c r="F840" t="s">
        <v>18</v>
      </c>
      <c r="G840">
        <v>5</v>
      </c>
      <c r="H840">
        <v>4460</v>
      </c>
      <c r="I840">
        <v>22300</v>
      </c>
    </row>
    <row r="841" spans="1:9" x14ac:dyDescent="0.3">
      <c r="A841">
        <v>1497</v>
      </c>
      <c r="B841" t="s">
        <v>465</v>
      </c>
      <c r="C841" t="s">
        <v>224</v>
      </c>
      <c r="D841" t="s">
        <v>35</v>
      </c>
      <c r="E841" t="s">
        <v>26</v>
      </c>
      <c r="F841" t="s">
        <v>133</v>
      </c>
      <c r="G841">
        <v>3</v>
      </c>
      <c r="H841">
        <v>3010</v>
      </c>
      <c r="I841">
        <v>9030</v>
      </c>
    </row>
    <row r="842" spans="1:9" x14ac:dyDescent="0.3">
      <c r="A842">
        <v>1369</v>
      </c>
      <c r="B842" t="s">
        <v>633</v>
      </c>
      <c r="C842" t="s">
        <v>634</v>
      </c>
      <c r="D842" t="s">
        <v>35</v>
      </c>
      <c r="E842" t="s">
        <v>136</v>
      </c>
      <c r="G842">
        <v>3</v>
      </c>
      <c r="H842">
        <v>1020</v>
      </c>
      <c r="I842">
        <v>3060</v>
      </c>
    </row>
    <row r="843" spans="1:9" x14ac:dyDescent="0.3">
      <c r="A843">
        <v>1411</v>
      </c>
      <c r="B843" t="s">
        <v>622</v>
      </c>
      <c r="C843" t="s">
        <v>152</v>
      </c>
      <c r="D843" t="s">
        <v>16</v>
      </c>
      <c r="E843" t="s">
        <v>56</v>
      </c>
      <c r="F843" t="s">
        <v>57</v>
      </c>
      <c r="G843">
        <v>3</v>
      </c>
      <c r="H843">
        <v>3902</v>
      </c>
      <c r="I843">
        <v>11706</v>
      </c>
    </row>
    <row r="844" spans="1:9" x14ac:dyDescent="0.3">
      <c r="A844">
        <v>1486</v>
      </c>
      <c r="B844" t="s">
        <v>73</v>
      </c>
      <c r="C844" t="s">
        <v>196</v>
      </c>
      <c r="D844" t="s">
        <v>42</v>
      </c>
      <c r="E844" t="s">
        <v>100</v>
      </c>
      <c r="F844" t="s">
        <v>72</v>
      </c>
      <c r="G844">
        <v>3</v>
      </c>
      <c r="H844">
        <v>574</v>
      </c>
      <c r="I844">
        <v>1722</v>
      </c>
    </row>
    <row r="845" spans="1:9" x14ac:dyDescent="0.3">
      <c r="A845">
        <v>1454</v>
      </c>
      <c r="B845" t="s">
        <v>285</v>
      </c>
      <c r="C845" t="s">
        <v>201</v>
      </c>
      <c r="D845" t="s">
        <v>35</v>
      </c>
      <c r="E845" t="s">
        <v>136</v>
      </c>
      <c r="F845" t="s">
        <v>46</v>
      </c>
      <c r="G845">
        <v>4</v>
      </c>
      <c r="H845">
        <v>4100</v>
      </c>
      <c r="I845">
        <v>16400</v>
      </c>
    </row>
    <row r="846" spans="1:9" x14ac:dyDescent="0.3">
      <c r="A846">
        <v>1102</v>
      </c>
      <c r="B846" t="s">
        <v>392</v>
      </c>
      <c r="C846" t="s">
        <v>282</v>
      </c>
      <c r="D846" t="s">
        <v>11</v>
      </c>
      <c r="E846" t="s">
        <v>17</v>
      </c>
      <c r="F846" t="s">
        <v>114</v>
      </c>
      <c r="G846">
        <v>4</v>
      </c>
      <c r="H846">
        <v>913</v>
      </c>
      <c r="I846">
        <v>3652</v>
      </c>
    </row>
    <row r="847" spans="1:9" x14ac:dyDescent="0.3">
      <c r="A847">
        <v>1561</v>
      </c>
      <c r="B847" t="s">
        <v>320</v>
      </c>
      <c r="C847" t="s">
        <v>385</v>
      </c>
      <c r="D847" t="s">
        <v>16</v>
      </c>
      <c r="E847" t="s">
        <v>45</v>
      </c>
      <c r="F847" t="s">
        <v>124</v>
      </c>
      <c r="G847">
        <v>2</v>
      </c>
      <c r="H847">
        <v>1933</v>
      </c>
      <c r="I847">
        <v>3866</v>
      </c>
    </row>
    <row r="848" spans="1:9" x14ac:dyDescent="0.3">
      <c r="A848">
        <v>1091</v>
      </c>
      <c r="B848" t="s">
        <v>489</v>
      </c>
      <c r="C848" t="s">
        <v>194</v>
      </c>
      <c r="D848" t="s">
        <v>52</v>
      </c>
      <c r="E848" t="s">
        <v>56</v>
      </c>
      <c r="F848" t="s">
        <v>93</v>
      </c>
      <c r="G848">
        <v>3</v>
      </c>
      <c r="H848">
        <v>2005</v>
      </c>
      <c r="I848">
        <v>6015</v>
      </c>
    </row>
    <row r="849" spans="1:9" x14ac:dyDescent="0.3">
      <c r="A849">
        <v>1126</v>
      </c>
      <c r="B849" t="s">
        <v>633</v>
      </c>
      <c r="C849" t="s">
        <v>409</v>
      </c>
      <c r="D849" t="s">
        <v>16</v>
      </c>
      <c r="E849" t="s">
        <v>21</v>
      </c>
      <c r="F849" t="s">
        <v>124</v>
      </c>
      <c r="G849">
        <v>5</v>
      </c>
      <c r="H849">
        <v>729</v>
      </c>
      <c r="I849">
        <v>3645</v>
      </c>
    </row>
    <row r="850" spans="1:9" x14ac:dyDescent="0.3">
      <c r="A850">
        <v>1390</v>
      </c>
      <c r="B850" t="s">
        <v>635</v>
      </c>
      <c r="C850" t="s">
        <v>119</v>
      </c>
      <c r="D850" t="s">
        <v>30</v>
      </c>
      <c r="E850" t="s">
        <v>49</v>
      </c>
      <c r="F850" t="s">
        <v>128</v>
      </c>
      <c r="G850">
        <v>1</v>
      </c>
      <c r="H850">
        <v>2583</v>
      </c>
      <c r="I850">
        <v>2583</v>
      </c>
    </row>
    <row r="851" spans="1:9" x14ac:dyDescent="0.3">
      <c r="A851">
        <v>1192</v>
      </c>
      <c r="B851" t="s">
        <v>232</v>
      </c>
      <c r="C851" t="s">
        <v>414</v>
      </c>
      <c r="D851" t="s">
        <v>52</v>
      </c>
      <c r="E851" t="s">
        <v>36</v>
      </c>
      <c r="F851" t="s">
        <v>13</v>
      </c>
      <c r="G851">
        <v>5</v>
      </c>
      <c r="H851">
        <v>213</v>
      </c>
      <c r="I851">
        <v>1065</v>
      </c>
    </row>
    <row r="852" spans="1:9" x14ac:dyDescent="0.3">
      <c r="A852">
        <v>1194</v>
      </c>
      <c r="B852" t="s">
        <v>423</v>
      </c>
      <c r="C852" t="s">
        <v>175</v>
      </c>
      <c r="E852" t="s">
        <v>21</v>
      </c>
      <c r="F852" t="s">
        <v>22</v>
      </c>
      <c r="G852">
        <v>5</v>
      </c>
      <c r="H852">
        <v>2019</v>
      </c>
      <c r="I852">
        <v>10095</v>
      </c>
    </row>
    <row r="853" spans="1:9" x14ac:dyDescent="0.3">
      <c r="A853">
        <v>1471</v>
      </c>
      <c r="B853" t="s">
        <v>43</v>
      </c>
      <c r="C853" t="s">
        <v>636</v>
      </c>
      <c r="D853" t="s">
        <v>62</v>
      </c>
      <c r="E853" t="s">
        <v>26</v>
      </c>
      <c r="F853" t="s">
        <v>13</v>
      </c>
      <c r="G853">
        <v>2</v>
      </c>
      <c r="H853">
        <v>2521</v>
      </c>
      <c r="I853">
        <v>5042</v>
      </c>
    </row>
    <row r="854" spans="1:9" x14ac:dyDescent="0.3">
      <c r="A854">
        <v>1035</v>
      </c>
      <c r="B854" t="s">
        <v>573</v>
      </c>
      <c r="C854" t="s">
        <v>372</v>
      </c>
      <c r="D854" t="s">
        <v>30</v>
      </c>
      <c r="E854" t="s">
        <v>89</v>
      </c>
      <c r="F854" t="s">
        <v>133</v>
      </c>
      <c r="G854">
        <v>5</v>
      </c>
      <c r="H854">
        <v>4118</v>
      </c>
      <c r="I854">
        <v>20590</v>
      </c>
    </row>
    <row r="855" spans="1:9" x14ac:dyDescent="0.3">
      <c r="A855">
        <v>1298</v>
      </c>
      <c r="B855" t="s">
        <v>580</v>
      </c>
      <c r="C855" t="s">
        <v>318</v>
      </c>
      <c r="D855" t="s">
        <v>11</v>
      </c>
      <c r="E855" t="s">
        <v>21</v>
      </c>
      <c r="F855" t="s">
        <v>124</v>
      </c>
      <c r="G855">
        <v>2</v>
      </c>
      <c r="H855">
        <v>2043</v>
      </c>
      <c r="I855">
        <v>4086</v>
      </c>
    </row>
    <row r="856" spans="1:9" x14ac:dyDescent="0.3">
      <c r="A856">
        <v>1183</v>
      </c>
      <c r="B856" t="s">
        <v>505</v>
      </c>
      <c r="C856" t="s">
        <v>482</v>
      </c>
      <c r="D856" t="s">
        <v>42</v>
      </c>
      <c r="E856" t="s">
        <v>49</v>
      </c>
      <c r="F856" t="s">
        <v>22</v>
      </c>
      <c r="G856">
        <v>5</v>
      </c>
      <c r="H856">
        <v>3413</v>
      </c>
      <c r="I856">
        <v>17065</v>
      </c>
    </row>
    <row r="857" spans="1:9" x14ac:dyDescent="0.3">
      <c r="A857">
        <v>1356</v>
      </c>
      <c r="B857" t="s">
        <v>450</v>
      </c>
      <c r="C857" t="s">
        <v>404</v>
      </c>
      <c r="D857" t="s">
        <v>30</v>
      </c>
      <c r="E857" t="s">
        <v>56</v>
      </c>
      <c r="F857" t="s">
        <v>57</v>
      </c>
      <c r="G857">
        <v>2</v>
      </c>
      <c r="H857">
        <v>4689</v>
      </c>
      <c r="I857">
        <v>9378</v>
      </c>
    </row>
    <row r="858" spans="1:9" x14ac:dyDescent="0.3">
      <c r="A858">
        <v>1594</v>
      </c>
      <c r="B858" t="s">
        <v>492</v>
      </c>
      <c r="C858" t="s">
        <v>126</v>
      </c>
      <c r="D858" t="s">
        <v>11</v>
      </c>
      <c r="E858" t="s">
        <v>12</v>
      </c>
      <c r="F858" t="s">
        <v>75</v>
      </c>
      <c r="G858">
        <v>4</v>
      </c>
      <c r="H858">
        <v>4152</v>
      </c>
      <c r="I858">
        <v>16608</v>
      </c>
    </row>
    <row r="859" spans="1:9" x14ac:dyDescent="0.3">
      <c r="A859">
        <v>1223</v>
      </c>
      <c r="B859" t="s">
        <v>637</v>
      </c>
      <c r="C859" t="s">
        <v>314</v>
      </c>
      <c r="D859" t="s">
        <v>11</v>
      </c>
      <c r="E859" t="s">
        <v>83</v>
      </c>
      <c r="F859" t="s">
        <v>112</v>
      </c>
      <c r="G859">
        <v>4</v>
      </c>
      <c r="H859">
        <v>3698</v>
      </c>
      <c r="I859">
        <v>14792</v>
      </c>
    </row>
    <row r="860" spans="1:9" x14ac:dyDescent="0.3">
      <c r="A860">
        <v>1057</v>
      </c>
      <c r="B860" t="s">
        <v>591</v>
      </c>
      <c r="C860" t="s">
        <v>523</v>
      </c>
      <c r="D860" t="s">
        <v>25</v>
      </c>
      <c r="E860" t="s">
        <v>136</v>
      </c>
      <c r="F860" t="s">
        <v>128</v>
      </c>
      <c r="G860">
        <v>5</v>
      </c>
      <c r="H860">
        <v>2972</v>
      </c>
      <c r="I860">
        <v>14860</v>
      </c>
    </row>
    <row r="861" spans="1:9" x14ac:dyDescent="0.3">
      <c r="A861">
        <v>1413</v>
      </c>
      <c r="B861" t="s">
        <v>328</v>
      </c>
      <c r="C861" t="s">
        <v>598</v>
      </c>
      <c r="D861" t="s">
        <v>62</v>
      </c>
      <c r="E861" t="s">
        <v>92</v>
      </c>
      <c r="F861" t="s">
        <v>93</v>
      </c>
      <c r="G861">
        <v>3</v>
      </c>
      <c r="H861">
        <v>1613</v>
      </c>
      <c r="I861">
        <v>4839</v>
      </c>
    </row>
    <row r="862" spans="1:9" x14ac:dyDescent="0.3">
      <c r="A862">
        <v>1091</v>
      </c>
      <c r="B862" t="s">
        <v>638</v>
      </c>
      <c r="C862" t="s">
        <v>116</v>
      </c>
      <c r="D862" t="s">
        <v>35</v>
      </c>
      <c r="E862" t="s">
        <v>45</v>
      </c>
      <c r="F862" t="s">
        <v>22</v>
      </c>
      <c r="G862">
        <v>1</v>
      </c>
      <c r="H862">
        <v>1183</v>
      </c>
      <c r="I862">
        <v>1183</v>
      </c>
    </row>
    <row r="863" spans="1:9" x14ac:dyDescent="0.3">
      <c r="A863">
        <v>1521</v>
      </c>
      <c r="B863" t="s">
        <v>250</v>
      </c>
      <c r="C863" t="s">
        <v>584</v>
      </c>
      <c r="D863" t="s">
        <v>11</v>
      </c>
      <c r="E863" t="s">
        <v>136</v>
      </c>
      <c r="F863" t="s">
        <v>22</v>
      </c>
      <c r="G863">
        <v>4</v>
      </c>
      <c r="H863">
        <v>4166</v>
      </c>
      <c r="I863">
        <v>16664</v>
      </c>
    </row>
    <row r="864" spans="1:9" x14ac:dyDescent="0.3">
      <c r="A864">
        <v>1305</v>
      </c>
      <c r="B864" t="s">
        <v>297</v>
      </c>
      <c r="C864" t="s">
        <v>311</v>
      </c>
      <c r="D864" t="s">
        <v>11</v>
      </c>
      <c r="E864" t="s">
        <v>83</v>
      </c>
      <c r="F864" t="s">
        <v>112</v>
      </c>
      <c r="G864">
        <v>4</v>
      </c>
      <c r="H864">
        <v>361</v>
      </c>
      <c r="I864">
        <v>1444</v>
      </c>
    </row>
    <row r="865" spans="1:9" x14ac:dyDescent="0.3">
      <c r="A865">
        <v>1542</v>
      </c>
      <c r="B865" t="s">
        <v>575</v>
      </c>
      <c r="C865" t="s">
        <v>361</v>
      </c>
      <c r="D865" t="s">
        <v>11</v>
      </c>
      <c r="E865" t="s">
        <v>83</v>
      </c>
      <c r="G865">
        <v>5</v>
      </c>
      <c r="H865">
        <v>1674</v>
      </c>
      <c r="I865">
        <v>8370</v>
      </c>
    </row>
    <row r="866" spans="1:9" x14ac:dyDescent="0.3">
      <c r="A866">
        <v>1321</v>
      </c>
      <c r="B866" t="s">
        <v>574</v>
      </c>
      <c r="C866" t="s">
        <v>639</v>
      </c>
      <c r="D866" t="s">
        <v>11</v>
      </c>
      <c r="E866" t="s">
        <v>39</v>
      </c>
      <c r="F866" t="s">
        <v>18</v>
      </c>
      <c r="G866">
        <v>1</v>
      </c>
      <c r="H866">
        <v>4807</v>
      </c>
      <c r="I866">
        <v>4807</v>
      </c>
    </row>
    <row r="867" spans="1:9" x14ac:dyDescent="0.3">
      <c r="A867">
        <v>1086</v>
      </c>
      <c r="B867" t="s">
        <v>589</v>
      </c>
      <c r="C867" t="s">
        <v>562</v>
      </c>
      <c r="D867" t="s">
        <v>52</v>
      </c>
      <c r="E867" t="s">
        <v>12</v>
      </c>
      <c r="F867" t="s">
        <v>95</v>
      </c>
      <c r="G867">
        <v>1</v>
      </c>
      <c r="H867">
        <v>2234</v>
      </c>
      <c r="I867">
        <v>2234</v>
      </c>
    </row>
    <row r="868" spans="1:9" x14ac:dyDescent="0.3">
      <c r="A868">
        <v>1531</v>
      </c>
      <c r="B868" t="s">
        <v>244</v>
      </c>
      <c r="C868" t="s">
        <v>66</v>
      </c>
      <c r="D868" t="s">
        <v>35</v>
      </c>
      <c r="E868" t="s">
        <v>45</v>
      </c>
      <c r="F868" t="s">
        <v>128</v>
      </c>
      <c r="G868">
        <v>5</v>
      </c>
      <c r="H868">
        <v>3084</v>
      </c>
      <c r="I868">
        <v>15420</v>
      </c>
    </row>
    <row r="869" spans="1:9" x14ac:dyDescent="0.3">
      <c r="A869">
        <v>1101</v>
      </c>
      <c r="B869" t="s">
        <v>125</v>
      </c>
      <c r="C869" t="s">
        <v>500</v>
      </c>
      <c r="D869" t="s">
        <v>16</v>
      </c>
      <c r="E869" t="s">
        <v>83</v>
      </c>
      <c r="F869" t="s">
        <v>93</v>
      </c>
      <c r="G869">
        <v>2</v>
      </c>
      <c r="H869">
        <v>2655</v>
      </c>
      <c r="I869">
        <v>5310</v>
      </c>
    </row>
    <row r="870" spans="1:9" x14ac:dyDescent="0.3">
      <c r="A870">
        <v>1137</v>
      </c>
      <c r="B870" t="s">
        <v>307</v>
      </c>
      <c r="C870" t="s">
        <v>378</v>
      </c>
      <c r="D870" t="s">
        <v>30</v>
      </c>
      <c r="E870" t="s">
        <v>100</v>
      </c>
      <c r="F870" t="s">
        <v>18</v>
      </c>
      <c r="G870">
        <v>2</v>
      </c>
      <c r="H870">
        <v>3657</v>
      </c>
      <c r="I870">
        <v>7314</v>
      </c>
    </row>
    <row r="871" spans="1:9" x14ac:dyDescent="0.3">
      <c r="A871">
        <v>1390</v>
      </c>
      <c r="B871" t="s">
        <v>627</v>
      </c>
      <c r="C871" t="s">
        <v>608</v>
      </c>
      <c r="D871" t="s">
        <v>25</v>
      </c>
      <c r="E871" t="s">
        <v>140</v>
      </c>
      <c r="F871" t="s">
        <v>53</v>
      </c>
      <c r="G871">
        <v>3</v>
      </c>
      <c r="H871">
        <v>3684</v>
      </c>
      <c r="I871">
        <v>11052</v>
      </c>
    </row>
    <row r="872" spans="1:9" x14ac:dyDescent="0.3">
      <c r="A872">
        <v>1208</v>
      </c>
      <c r="B872" t="s">
        <v>259</v>
      </c>
      <c r="C872" t="s">
        <v>180</v>
      </c>
      <c r="D872" t="s">
        <v>11</v>
      </c>
      <c r="E872" t="s">
        <v>36</v>
      </c>
      <c r="F872" t="s">
        <v>13</v>
      </c>
      <c r="G872">
        <v>4</v>
      </c>
      <c r="H872">
        <v>1457</v>
      </c>
      <c r="I872">
        <v>5828</v>
      </c>
    </row>
    <row r="873" spans="1:9" x14ac:dyDescent="0.3">
      <c r="A873">
        <v>1388</v>
      </c>
      <c r="B873" t="s">
        <v>313</v>
      </c>
      <c r="C873" t="s">
        <v>386</v>
      </c>
      <c r="D873" t="s">
        <v>25</v>
      </c>
      <c r="E873" t="s">
        <v>100</v>
      </c>
      <c r="F873" t="s">
        <v>72</v>
      </c>
      <c r="G873">
        <v>5</v>
      </c>
      <c r="H873">
        <v>1101</v>
      </c>
      <c r="I873">
        <v>5505</v>
      </c>
    </row>
    <row r="874" spans="1:9" x14ac:dyDescent="0.3">
      <c r="A874">
        <v>1337</v>
      </c>
      <c r="B874" t="s">
        <v>467</v>
      </c>
      <c r="C874" t="s">
        <v>501</v>
      </c>
      <c r="D874" t="s">
        <v>11</v>
      </c>
      <c r="E874" t="s">
        <v>36</v>
      </c>
      <c r="G874">
        <v>2</v>
      </c>
      <c r="H874">
        <v>2441</v>
      </c>
      <c r="I874">
        <v>4882</v>
      </c>
    </row>
    <row r="875" spans="1:9" x14ac:dyDescent="0.3">
      <c r="A875">
        <v>1227</v>
      </c>
      <c r="B875" t="s">
        <v>396</v>
      </c>
      <c r="C875" t="s">
        <v>193</v>
      </c>
      <c r="D875" t="s">
        <v>30</v>
      </c>
      <c r="E875" t="s">
        <v>31</v>
      </c>
      <c r="F875" t="s">
        <v>32</v>
      </c>
      <c r="G875">
        <v>5</v>
      </c>
      <c r="H875">
        <v>4210</v>
      </c>
      <c r="I875">
        <v>21050</v>
      </c>
    </row>
    <row r="876" spans="1:9" x14ac:dyDescent="0.3">
      <c r="A876">
        <v>1585</v>
      </c>
      <c r="B876" t="s">
        <v>275</v>
      </c>
      <c r="C876" t="s">
        <v>378</v>
      </c>
      <c r="D876" t="s">
        <v>42</v>
      </c>
      <c r="E876" t="s">
        <v>89</v>
      </c>
      <c r="F876" t="s">
        <v>133</v>
      </c>
      <c r="G876">
        <v>2</v>
      </c>
      <c r="H876">
        <v>2805</v>
      </c>
      <c r="I876">
        <v>5610</v>
      </c>
    </row>
    <row r="877" spans="1:9" x14ac:dyDescent="0.3">
      <c r="A877">
        <v>1353</v>
      </c>
      <c r="B877" t="s">
        <v>223</v>
      </c>
      <c r="C877" t="s">
        <v>318</v>
      </c>
      <c r="D877" t="s">
        <v>30</v>
      </c>
      <c r="E877" t="s">
        <v>49</v>
      </c>
      <c r="F877" t="s">
        <v>46</v>
      </c>
      <c r="G877">
        <v>1</v>
      </c>
      <c r="H877">
        <v>4407</v>
      </c>
      <c r="I877">
        <v>4407</v>
      </c>
    </row>
    <row r="878" spans="1:9" x14ac:dyDescent="0.3">
      <c r="A878">
        <v>1146</v>
      </c>
      <c r="B878" t="s">
        <v>396</v>
      </c>
      <c r="C878" t="s">
        <v>460</v>
      </c>
      <c r="D878" t="s">
        <v>16</v>
      </c>
      <c r="E878" t="s">
        <v>36</v>
      </c>
      <c r="F878" t="s">
        <v>27</v>
      </c>
      <c r="G878">
        <v>5</v>
      </c>
      <c r="H878">
        <v>3626</v>
      </c>
      <c r="I878">
        <v>18130</v>
      </c>
    </row>
    <row r="879" spans="1:9" x14ac:dyDescent="0.3">
      <c r="A879">
        <v>1362</v>
      </c>
      <c r="B879" t="s">
        <v>320</v>
      </c>
      <c r="C879" t="s">
        <v>288</v>
      </c>
      <c r="D879" t="s">
        <v>16</v>
      </c>
      <c r="E879" t="s">
        <v>26</v>
      </c>
      <c r="F879" t="s">
        <v>95</v>
      </c>
      <c r="G879">
        <v>3</v>
      </c>
      <c r="H879">
        <v>912</v>
      </c>
      <c r="I879">
        <v>2736</v>
      </c>
    </row>
    <row r="880" spans="1:9" x14ac:dyDescent="0.3">
      <c r="A880">
        <v>1320</v>
      </c>
      <c r="B880" t="s">
        <v>290</v>
      </c>
      <c r="C880" t="s">
        <v>38</v>
      </c>
      <c r="D880" t="s">
        <v>25</v>
      </c>
      <c r="E880" t="s">
        <v>31</v>
      </c>
      <c r="F880" t="s">
        <v>32</v>
      </c>
      <c r="G880">
        <v>2</v>
      </c>
      <c r="H880">
        <v>4912</v>
      </c>
      <c r="I880">
        <v>9824</v>
      </c>
    </row>
    <row r="881" spans="1:9" x14ac:dyDescent="0.3">
      <c r="A881">
        <v>1567</v>
      </c>
      <c r="B881" t="s">
        <v>640</v>
      </c>
      <c r="C881" t="s">
        <v>251</v>
      </c>
      <c r="D881" t="s">
        <v>62</v>
      </c>
      <c r="E881" t="s">
        <v>31</v>
      </c>
      <c r="F881" t="s">
        <v>78</v>
      </c>
      <c r="G881">
        <v>4</v>
      </c>
      <c r="H881">
        <v>4418</v>
      </c>
      <c r="I881">
        <v>17672</v>
      </c>
    </row>
    <row r="882" spans="1:9" x14ac:dyDescent="0.3">
      <c r="A882">
        <v>1545</v>
      </c>
      <c r="B882" t="s">
        <v>615</v>
      </c>
      <c r="C882" t="s">
        <v>348</v>
      </c>
      <c r="D882" t="s">
        <v>42</v>
      </c>
      <c r="E882" t="s">
        <v>49</v>
      </c>
      <c r="F882" t="s">
        <v>124</v>
      </c>
      <c r="G882">
        <v>4</v>
      </c>
      <c r="H882">
        <v>4577</v>
      </c>
      <c r="I882">
        <v>18308</v>
      </c>
    </row>
    <row r="883" spans="1:9" x14ac:dyDescent="0.3">
      <c r="A883">
        <v>1540</v>
      </c>
      <c r="B883" t="s">
        <v>300</v>
      </c>
      <c r="C883" t="s">
        <v>201</v>
      </c>
      <c r="D883" t="s">
        <v>11</v>
      </c>
      <c r="E883" t="s">
        <v>92</v>
      </c>
      <c r="F883" t="s">
        <v>57</v>
      </c>
      <c r="G883">
        <v>5</v>
      </c>
      <c r="H883">
        <v>2043</v>
      </c>
      <c r="I883">
        <v>10215</v>
      </c>
    </row>
    <row r="884" spans="1:9" x14ac:dyDescent="0.3">
      <c r="A884">
        <v>1136</v>
      </c>
      <c r="B884" t="s">
        <v>73</v>
      </c>
      <c r="C884" t="s">
        <v>167</v>
      </c>
      <c r="D884" t="s">
        <v>52</v>
      </c>
      <c r="E884" t="s">
        <v>92</v>
      </c>
      <c r="F884" t="s">
        <v>78</v>
      </c>
      <c r="G884">
        <v>2</v>
      </c>
      <c r="H884">
        <v>3257</v>
      </c>
      <c r="I884">
        <v>6514</v>
      </c>
    </row>
    <row r="885" spans="1:9" x14ac:dyDescent="0.3">
      <c r="A885">
        <v>1255</v>
      </c>
      <c r="B885" t="s">
        <v>506</v>
      </c>
      <c r="C885" t="s">
        <v>126</v>
      </c>
      <c r="D885" t="s">
        <v>62</v>
      </c>
      <c r="E885" t="s">
        <v>56</v>
      </c>
      <c r="F885" t="s">
        <v>112</v>
      </c>
      <c r="G885">
        <v>3</v>
      </c>
      <c r="H885">
        <v>2368</v>
      </c>
      <c r="I885">
        <v>7104</v>
      </c>
    </row>
    <row r="886" spans="1:9" x14ac:dyDescent="0.3">
      <c r="A886">
        <v>1582</v>
      </c>
      <c r="B886" t="s">
        <v>394</v>
      </c>
      <c r="C886" t="s">
        <v>15</v>
      </c>
      <c r="E886" t="s">
        <v>89</v>
      </c>
      <c r="F886" t="s">
        <v>133</v>
      </c>
      <c r="G886">
        <v>5</v>
      </c>
      <c r="H886">
        <v>4199</v>
      </c>
      <c r="I886">
        <v>20995</v>
      </c>
    </row>
    <row r="887" spans="1:9" x14ac:dyDescent="0.3">
      <c r="A887">
        <v>1471</v>
      </c>
      <c r="B887" t="s">
        <v>195</v>
      </c>
      <c r="C887" t="s">
        <v>532</v>
      </c>
      <c r="D887" t="s">
        <v>35</v>
      </c>
      <c r="E887" t="s">
        <v>89</v>
      </c>
      <c r="F887" t="s">
        <v>27</v>
      </c>
      <c r="G887">
        <v>2</v>
      </c>
      <c r="H887">
        <v>3493</v>
      </c>
      <c r="I887">
        <v>6986</v>
      </c>
    </row>
    <row r="888" spans="1:9" x14ac:dyDescent="0.3">
      <c r="A888">
        <v>1503</v>
      </c>
      <c r="B888" t="s">
        <v>337</v>
      </c>
      <c r="C888" t="s">
        <v>132</v>
      </c>
      <c r="D888" t="s">
        <v>62</v>
      </c>
      <c r="E888" t="s">
        <v>17</v>
      </c>
      <c r="F888" t="s">
        <v>53</v>
      </c>
      <c r="G888">
        <v>1</v>
      </c>
      <c r="H888">
        <v>1474</v>
      </c>
      <c r="I888">
        <v>1474</v>
      </c>
    </row>
    <row r="889" spans="1:9" x14ac:dyDescent="0.3">
      <c r="A889">
        <v>1481</v>
      </c>
      <c r="B889" t="s">
        <v>255</v>
      </c>
      <c r="C889" t="s">
        <v>291</v>
      </c>
      <c r="D889" t="s">
        <v>11</v>
      </c>
      <c r="E889" t="s">
        <v>26</v>
      </c>
      <c r="F889" t="s">
        <v>95</v>
      </c>
      <c r="G889">
        <v>5</v>
      </c>
      <c r="H889">
        <v>2407</v>
      </c>
      <c r="I889">
        <v>12035</v>
      </c>
    </row>
    <row r="890" spans="1:9" x14ac:dyDescent="0.3">
      <c r="A890">
        <v>1449</v>
      </c>
      <c r="B890" t="s">
        <v>502</v>
      </c>
      <c r="C890" t="s">
        <v>146</v>
      </c>
      <c r="D890" t="s">
        <v>35</v>
      </c>
      <c r="E890" t="s">
        <v>89</v>
      </c>
      <c r="F890" t="s">
        <v>75</v>
      </c>
      <c r="G890">
        <v>2</v>
      </c>
      <c r="H890">
        <v>1106</v>
      </c>
      <c r="I890">
        <v>2212</v>
      </c>
    </row>
    <row r="891" spans="1:9" x14ac:dyDescent="0.3">
      <c r="A891">
        <v>1404</v>
      </c>
      <c r="B891" t="s">
        <v>127</v>
      </c>
      <c r="C891" t="s">
        <v>210</v>
      </c>
      <c r="D891" t="s">
        <v>16</v>
      </c>
      <c r="E891" t="s">
        <v>12</v>
      </c>
      <c r="F891" t="s">
        <v>27</v>
      </c>
      <c r="G891">
        <v>4</v>
      </c>
      <c r="H891">
        <v>2377</v>
      </c>
      <c r="I891">
        <v>9508</v>
      </c>
    </row>
    <row r="892" spans="1:9" x14ac:dyDescent="0.3">
      <c r="A892">
        <v>1507</v>
      </c>
      <c r="B892" t="s">
        <v>317</v>
      </c>
      <c r="C892" t="s">
        <v>289</v>
      </c>
      <c r="D892" t="s">
        <v>52</v>
      </c>
      <c r="E892" t="s">
        <v>140</v>
      </c>
      <c r="F892" t="s">
        <v>101</v>
      </c>
      <c r="G892">
        <v>2</v>
      </c>
      <c r="H892">
        <v>1098</v>
      </c>
      <c r="I892">
        <v>2196</v>
      </c>
    </row>
    <row r="893" spans="1:9" x14ac:dyDescent="0.3">
      <c r="A893">
        <v>1129</v>
      </c>
      <c r="B893" t="s">
        <v>545</v>
      </c>
      <c r="C893" t="s">
        <v>452</v>
      </c>
      <c r="D893" t="s">
        <v>35</v>
      </c>
      <c r="E893" t="s">
        <v>83</v>
      </c>
      <c r="F893" t="s">
        <v>93</v>
      </c>
      <c r="G893">
        <v>4</v>
      </c>
      <c r="H893">
        <v>265</v>
      </c>
      <c r="I893">
        <v>1060</v>
      </c>
    </row>
    <row r="894" spans="1:9" x14ac:dyDescent="0.3">
      <c r="A894">
        <v>1497</v>
      </c>
      <c r="B894" t="s">
        <v>410</v>
      </c>
      <c r="C894" t="s">
        <v>433</v>
      </c>
      <c r="D894" t="s">
        <v>11</v>
      </c>
      <c r="E894" t="s">
        <v>49</v>
      </c>
      <c r="F894" t="s">
        <v>128</v>
      </c>
      <c r="G894">
        <v>2</v>
      </c>
      <c r="H894">
        <v>2503</v>
      </c>
      <c r="I894">
        <v>5006</v>
      </c>
    </row>
    <row r="895" spans="1:9" x14ac:dyDescent="0.3">
      <c r="A895">
        <v>1253</v>
      </c>
      <c r="B895" t="s">
        <v>628</v>
      </c>
      <c r="C895" t="s">
        <v>231</v>
      </c>
      <c r="D895" t="s">
        <v>25</v>
      </c>
      <c r="E895" t="s">
        <v>45</v>
      </c>
      <c r="F895" t="s">
        <v>128</v>
      </c>
      <c r="G895">
        <v>5</v>
      </c>
      <c r="H895">
        <v>1684</v>
      </c>
      <c r="I895">
        <v>8420</v>
      </c>
    </row>
    <row r="896" spans="1:9" x14ac:dyDescent="0.3">
      <c r="A896">
        <v>1152</v>
      </c>
      <c r="B896" t="s">
        <v>70</v>
      </c>
      <c r="C896" t="s">
        <v>565</v>
      </c>
      <c r="D896" t="s">
        <v>30</v>
      </c>
      <c r="E896" t="s">
        <v>17</v>
      </c>
      <c r="F896" t="s">
        <v>53</v>
      </c>
      <c r="G896">
        <v>2</v>
      </c>
      <c r="H896">
        <v>1397</v>
      </c>
      <c r="I896">
        <v>2794</v>
      </c>
    </row>
    <row r="897" spans="1:9" x14ac:dyDescent="0.3">
      <c r="A897">
        <v>1093</v>
      </c>
      <c r="B897" t="s">
        <v>641</v>
      </c>
      <c r="C897" t="s">
        <v>182</v>
      </c>
      <c r="D897" t="s">
        <v>16</v>
      </c>
      <c r="E897" t="s">
        <v>21</v>
      </c>
      <c r="F897" t="s">
        <v>67</v>
      </c>
      <c r="G897">
        <v>2</v>
      </c>
      <c r="H897">
        <v>2953</v>
      </c>
      <c r="I897">
        <v>5906</v>
      </c>
    </row>
    <row r="898" spans="1:9" x14ac:dyDescent="0.3">
      <c r="A898">
        <v>1437</v>
      </c>
      <c r="B898" t="s">
        <v>483</v>
      </c>
      <c r="C898" t="s">
        <v>454</v>
      </c>
      <c r="D898" t="s">
        <v>35</v>
      </c>
      <c r="E898" t="s">
        <v>36</v>
      </c>
      <c r="F898" t="s">
        <v>27</v>
      </c>
      <c r="G898">
        <v>3</v>
      </c>
      <c r="H898">
        <v>3075</v>
      </c>
      <c r="I898">
        <v>9225</v>
      </c>
    </row>
    <row r="899" spans="1:9" x14ac:dyDescent="0.3">
      <c r="A899">
        <v>1048</v>
      </c>
      <c r="B899" t="s">
        <v>479</v>
      </c>
      <c r="C899" t="s">
        <v>639</v>
      </c>
      <c r="D899" t="s">
        <v>16</v>
      </c>
      <c r="E899" t="s">
        <v>56</v>
      </c>
      <c r="F899" t="s">
        <v>32</v>
      </c>
      <c r="G899">
        <v>3</v>
      </c>
      <c r="H899">
        <v>4067</v>
      </c>
      <c r="I899">
        <v>12201</v>
      </c>
    </row>
    <row r="900" spans="1:9" x14ac:dyDescent="0.3">
      <c r="A900">
        <v>1441</v>
      </c>
      <c r="B900" t="s">
        <v>553</v>
      </c>
      <c r="C900" t="s">
        <v>511</v>
      </c>
      <c r="D900" t="s">
        <v>30</v>
      </c>
      <c r="E900" t="s">
        <v>21</v>
      </c>
      <c r="F900" t="s">
        <v>22</v>
      </c>
      <c r="G900">
        <v>1</v>
      </c>
      <c r="H900">
        <v>993</v>
      </c>
      <c r="I900">
        <v>993</v>
      </c>
    </row>
    <row r="901" spans="1:9" x14ac:dyDescent="0.3">
      <c r="A901">
        <v>1133</v>
      </c>
      <c r="B901" t="s">
        <v>478</v>
      </c>
      <c r="C901" t="s">
        <v>512</v>
      </c>
      <c r="D901" t="s">
        <v>16</v>
      </c>
      <c r="E901" t="s">
        <v>36</v>
      </c>
      <c r="F901" t="s">
        <v>133</v>
      </c>
      <c r="G901">
        <v>3</v>
      </c>
      <c r="H901">
        <v>1920</v>
      </c>
      <c r="I901">
        <v>5760</v>
      </c>
    </row>
    <row r="902" spans="1:9" x14ac:dyDescent="0.3">
      <c r="A902">
        <v>1108</v>
      </c>
      <c r="B902" t="s">
        <v>279</v>
      </c>
      <c r="C902" t="s">
        <v>180</v>
      </c>
      <c r="D902" t="s">
        <v>16</v>
      </c>
      <c r="E902" t="s">
        <v>31</v>
      </c>
      <c r="F902" t="s">
        <v>32</v>
      </c>
      <c r="G902">
        <v>4</v>
      </c>
      <c r="H902">
        <v>1008</v>
      </c>
      <c r="I902">
        <v>4032</v>
      </c>
    </row>
    <row r="903" spans="1:9" x14ac:dyDescent="0.3">
      <c r="A903">
        <v>1351</v>
      </c>
      <c r="B903" t="s">
        <v>242</v>
      </c>
      <c r="C903" t="s">
        <v>278</v>
      </c>
      <c r="D903" t="s">
        <v>42</v>
      </c>
      <c r="E903" t="s">
        <v>49</v>
      </c>
      <c r="F903" t="s">
        <v>128</v>
      </c>
      <c r="G903">
        <v>2</v>
      </c>
      <c r="H903">
        <v>1770</v>
      </c>
      <c r="I903">
        <v>3540</v>
      </c>
    </row>
    <row r="904" spans="1:9" x14ac:dyDescent="0.3">
      <c r="A904">
        <v>1573</v>
      </c>
      <c r="B904" t="s">
        <v>642</v>
      </c>
      <c r="C904" t="s">
        <v>388</v>
      </c>
      <c r="D904" t="s">
        <v>52</v>
      </c>
      <c r="E904" t="s">
        <v>89</v>
      </c>
      <c r="F904" t="s">
        <v>75</v>
      </c>
      <c r="G904">
        <v>1</v>
      </c>
      <c r="H904">
        <v>4155</v>
      </c>
      <c r="I904">
        <v>4155</v>
      </c>
    </row>
    <row r="905" spans="1:9" x14ac:dyDescent="0.3">
      <c r="A905">
        <v>1515</v>
      </c>
      <c r="B905" t="s">
        <v>401</v>
      </c>
      <c r="C905" t="s">
        <v>218</v>
      </c>
      <c r="D905" t="s">
        <v>42</v>
      </c>
      <c r="E905" t="s">
        <v>36</v>
      </c>
      <c r="F905" t="s">
        <v>13</v>
      </c>
      <c r="G905">
        <v>5</v>
      </c>
      <c r="H905">
        <v>698</v>
      </c>
      <c r="I905">
        <v>3490</v>
      </c>
    </row>
    <row r="906" spans="1:9" x14ac:dyDescent="0.3">
      <c r="A906">
        <v>1407</v>
      </c>
      <c r="B906" t="s">
        <v>334</v>
      </c>
      <c r="C906" t="s">
        <v>41</v>
      </c>
      <c r="D906" t="s">
        <v>52</v>
      </c>
      <c r="E906" t="s">
        <v>92</v>
      </c>
      <c r="F906" t="s">
        <v>93</v>
      </c>
      <c r="G906">
        <v>5</v>
      </c>
      <c r="H906">
        <v>3396</v>
      </c>
      <c r="I906">
        <v>16980</v>
      </c>
    </row>
    <row r="907" spans="1:9" x14ac:dyDescent="0.3">
      <c r="A907">
        <v>1188</v>
      </c>
      <c r="B907" t="s">
        <v>643</v>
      </c>
      <c r="C907" t="s">
        <v>496</v>
      </c>
      <c r="D907" t="s">
        <v>62</v>
      </c>
      <c r="E907" t="s">
        <v>17</v>
      </c>
      <c r="F907" t="s">
        <v>18</v>
      </c>
      <c r="G907">
        <v>5</v>
      </c>
      <c r="H907">
        <v>4501</v>
      </c>
      <c r="I907">
        <v>22505</v>
      </c>
    </row>
    <row r="908" spans="1:9" x14ac:dyDescent="0.3">
      <c r="A908">
        <v>1303</v>
      </c>
      <c r="B908" t="s">
        <v>469</v>
      </c>
      <c r="C908" t="s">
        <v>206</v>
      </c>
      <c r="D908" t="s">
        <v>42</v>
      </c>
      <c r="E908" t="s">
        <v>31</v>
      </c>
      <c r="F908" t="s">
        <v>93</v>
      </c>
      <c r="G908">
        <v>5</v>
      </c>
      <c r="H908">
        <v>2151</v>
      </c>
      <c r="I908">
        <v>10755</v>
      </c>
    </row>
    <row r="909" spans="1:9" x14ac:dyDescent="0.3">
      <c r="A909">
        <v>1284</v>
      </c>
      <c r="B909" t="s">
        <v>604</v>
      </c>
      <c r="C909" t="s">
        <v>548</v>
      </c>
      <c r="D909" t="s">
        <v>25</v>
      </c>
      <c r="E909" t="s">
        <v>31</v>
      </c>
      <c r="F909" t="s">
        <v>93</v>
      </c>
      <c r="G909">
        <v>1</v>
      </c>
      <c r="H909">
        <v>3046</v>
      </c>
      <c r="I909">
        <v>3046</v>
      </c>
    </row>
    <row r="910" spans="1:9" x14ac:dyDescent="0.3">
      <c r="A910">
        <v>1332</v>
      </c>
      <c r="B910" t="s">
        <v>410</v>
      </c>
      <c r="C910" t="s">
        <v>202</v>
      </c>
      <c r="E910" t="s">
        <v>26</v>
      </c>
      <c r="F910" t="s">
        <v>13</v>
      </c>
      <c r="G910">
        <v>3</v>
      </c>
      <c r="H910">
        <v>669</v>
      </c>
      <c r="I910">
        <v>2007</v>
      </c>
    </row>
    <row r="911" spans="1:9" x14ac:dyDescent="0.3">
      <c r="A911">
        <v>1364</v>
      </c>
      <c r="B911" t="s">
        <v>40</v>
      </c>
      <c r="C911" t="s">
        <v>539</v>
      </c>
      <c r="D911" t="s">
        <v>42</v>
      </c>
      <c r="E911" t="s">
        <v>36</v>
      </c>
      <c r="F911" t="s">
        <v>13</v>
      </c>
      <c r="G911">
        <v>5</v>
      </c>
      <c r="H911">
        <v>4978</v>
      </c>
      <c r="I911">
        <v>24890</v>
      </c>
    </row>
    <row r="912" spans="1:9" x14ac:dyDescent="0.3">
      <c r="A912">
        <v>1391</v>
      </c>
      <c r="B912" t="s">
        <v>635</v>
      </c>
      <c r="C912" t="s">
        <v>453</v>
      </c>
      <c r="D912" t="s">
        <v>35</v>
      </c>
      <c r="E912" t="s">
        <v>39</v>
      </c>
      <c r="F912" t="s">
        <v>53</v>
      </c>
      <c r="G912">
        <v>3</v>
      </c>
      <c r="H912">
        <v>1870</v>
      </c>
      <c r="I912">
        <v>5610</v>
      </c>
    </row>
    <row r="913" spans="1:9" x14ac:dyDescent="0.3">
      <c r="A913">
        <v>1404</v>
      </c>
      <c r="B913" t="s">
        <v>545</v>
      </c>
      <c r="C913" t="s">
        <v>445</v>
      </c>
      <c r="D913" t="s">
        <v>11</v>
      </c>
      <c r="E913" t="s">
        <v>100</v>
      </c>
      <c r="F913" t="s">
        <v>53</v>
      </c>
      <c r="G913">
        <v>4</v>
      </c>
      <c r="H913">
        <v>967</v>
      </c>
      <c r="I913">
        <v>3868</v>
      </c>
    </row>
    <row r="914" spans="1:9" x14ac:dyDescent="0.3">
      <c r="A914">
        <v>1180</v>
      </c>
      <c r="B914" t="s">
        <v>517</v>
      </c>
      <c r="C914" t="s">
        <v>460</v>
      </c>
      <c r="D914" t="s">
        <v>42</v>
      </c>
      <c r="E914" t="s">
        <v>21</v>
      </c>
      <c r="F914" t="s">
        <v>128</v>
      </c>
      <c r="G914">
        <v>3</v>
      </c>
      <c r="H914">
        <v>1534</v>
      </c>
      <c r="I914">
        <v>4602</v>
      </c>
    </row>
    <row r="915" spans="1:9" x14ac:dyDescent="0.3">
      <c r="A915">
        <v>1192</v>
      </c>
      <c r="B915" t="s">
        <v>98</v>
      </c>
      <c r="C915" t="s">
        <v>514</v>
      </c>
      <c r="D915" t="s">
        <v>62</v>
      </c>
      <c r="E915" t="s">
        <v>31</v>
      </c>
      <c r="F915" t="s">
        <v>78</v>
      </c>
      <c r="G915">
        <v>4</v>
      </c>
      <c r="H915">
        <v>1021</v>
      </c>
      <c r="I915">
        <v>4084</v>
      </c>
    </row>
    <row r="916" spans="1:9" x14ac:dyDescent="0.3">
      <c r="A916">
        <v>1012</v>
      </c>
      <c r="B916" t="s">
        <v>307</v>
      </c>
      <c r="C916" t="s">
        <v>449</v>
      </c>
      <c r="D916" t="s">
        <v>25</v>
      </c>
      <c r="E916" t="s">
        <v>136</v>
      </c>
      <c r="F916" t="s">
        <v>46</v>
      </c>
      <c r="G916">
        <v>1</v>
      </c>
      <c r="H916">
        <v>558</v>
      </c>
      <c r="I916">
        <v>558</v>
      </c>
    </row>
    <row r="917" spans="1:9" x14ac:dyDescent="0.3">
      <c r="A917">
        <v>1274</v>
      </c>
      <c r="B917" t="s">
        <v>219</v>
      </c>
      <c r="C917" t="s">
        <v>507</v>
      </c>
      <c r="D917" t="s">
        <v>35</v>
      </c>
      <c r="E917" t="s">
        <v>83</v>
      </c>
      <c r="F917" t="s">
        <v>32</v>
      </c>
      <c r="G917">
        <v>1</v>
      </c>
      <c r="H917">
        <v>1857</v>
      </c>
      <c r="I917">
        <v>1857</v>
      </c>
    </row>
    <row r="918" spans="1:9" x14ac:dyDescent="0.3">
      <c r="A918">
        <v>1454</v>
      </c>
      <c r="B918" t="s">
        <v>590</v>
      </c>
      <c r="C918" t="s">
        <v>118</v>
      </c>
      <c r="D918" t="s">
        <v>16</v>
      </c>
      <c r="E918" t="s">
        <v>12</v>
      </c>
      <c r="F918" t="s">
        <v>75</v>
      </c>
      <c r="G918">
        <v>1</v>
      </c>
      <c r="H918">
        <v>4652</v>
      </c>
      <c r="I918">
        <v>4652</v>
      </c>
    </row>
    <row r="919" spans="1:9" x14ac:dyDescent="0.3">
      <c r="A919">
        <v>1126</v>
      </c>
      <c r="B919" t="s">
        <v>298</v>
      </c>
      <c r="C919" t="s">
        <v>197</v>
      </c>
      <c r="D919" t="s">
        <v>25</v>
      </c>
      <c r="E919" t="s">
        <v>56</v>
      </c>
      <c r="F919" t="s">
        <v>32</v>
      </c>
      <c r="G919">
        <v>5</v>
      </c>
      <c r="H919">
        <v>3602</v>
      </c>
      <c r="I919">
        <v>18010</v>
      </c>
    </row>
    <row r="920" spans="1:9" x14ac:dyDescent="0.3">
      <c r="A920">
        <v>1024</v>
      </c>
      <c r="B920" t="s">
        <v>644</v>
      </c>
      <c r="C920" t="s">
        <v>48</v>
      </c>
      <c r="D920" t="s">
        <v>30</v>
      </c>
      <c r="E920" t="s">
        <v>21</v>
      </c>
      <c r="F920" t="s">
        <v>128</v>
      </c>
      <c r="G920">
        <v>2</v>
      </c>
      <c r="H920">
        <v>3351</v>
      </c>
      <c r="I920">
        <v>6702</v>
      </c>
    </row>
    <row r="921" spans="1:9" x14ac:dyDescent="0.3">
      <c r="A921">
        <v>1115</v>
      </c>
      <c r="B921" t="s">
        <v>629</v>
      </c>
      <c r="C921" t="s">
        <v>385</v>
      </c>
      <c r="D921" t="s">
        <v>30</v>
      </c>
      <c r="E921" t="s">
        <v>83</v>
      </c>
      <c r="F921" t="s">
        <v>93</v>
      </c>
      <c r="G921">
        <v>3</v>
      </c>
      <c r="H921">
        <v>824</v>
      </c>
      <c r="I921">
        <v>2472</v>
      </c>
    </row>
    <row r="922" spans="1:9" x14ac:dyDescent="0.3">
      <c r="A922">
        <v>1086</v>
      </c>
      <c r="B922" t="s">
        <v>106</v>
      </c>
      <c r="C922" t="s">
        <v>24</v>
      </c>
      <c r="D922" t="s">
        <v>35</v>
      </c>
      <c r="E922" t="s">
        <v>140</v>
      </c>
      <c r="F922" t="s">
        <v>114</v>
      </c>
      <c r="G922">
        <v>5</v>
      </c>
      <c r="H922">
        <v>1685</v>
      </c>
      <c r="I922">
        <v>8425</v>
      </c>
    </row>
    <row r="923" spans="1:9" x14ac:dyDescent="0.3">
      <c r="A923">
        <v>1308</v>
      </c>
      <c r="B923" t="s">
        <v>616</v>
      </c>
      <c r="C923" t="s">
        <v>500</v>
      </c>
      <c r="D923" t="s">
        <v>30</v>
      </c>
      <c r="E923" t="s">
        <v>89</v>
      </c>
      <c r="F923" t="s">
        <v>95</v>
      </c>
      <c r="G923">
        <v>4</v>
      </c>
      <c r="H923">
        <v>3223</v>
      </c>
      <c r="I923">
        <v>12892</v>
      </c>
    </row>
    <row r="924" spans="1:9" x14ac:dyDescent="0.3">
      <c r="A924">
        <v>1078</v>
      </c>
      <c r="B924" t="s">
        <v>643</v>
      </c>
      <c r="C924" t="s">
        <v>424</v>
      </c>
      <c r="D924" t="s">
        <v>11</v>
      </c>
      <c r="E924" t="s">
        <v>100</v>
      </c>
      <c r="F924" t="s">
        <v>114</v>
      </c>
      <c r="G924">
        <v>4</v>
      </c>
      <c r="H924">
        <v>3859</v>
      </c>
      <c r="I924">
        <v>15436</v>
      </c>
    </row>
    <row r="925" spans="1:9" x14ac:dyDescent="0.3">
      <c r="A925">
        <v>1489</v>
      </c>
      <c r="B925" t="s">
        <v>246</v>
      </c>
      <c r="C925" t="s">
        <v>296</v>
      </c>
      <c r="D925" t="s">
        <v>25</v>
      </c>
      <c r="E925" t="s">
        <v>49</v>
      </c>
      <c r="F925" t="s">
        <v>22</v>
      </c>
      <c r="G925">
        <v>3</v>
      </c>
      <c r="H925">
        <v>1244</v>
      </c>
      <c r="I925">
        <v>3732</v>
      </c>
    </row>
    <row r="926" spans="1:9" x14ac:dyDescent="0.3">
      <c r="A926">
        <v>1326</v>
      </c>
      <c r="B926" t="s">
        <v>334</v>
      </c>
      <c r="C926" t="s">
        <v>516</v>
      </c>
      <c r="D926" t="s">
        <v>11</v>
      </c>
      <c r="E926" t="s">
        <v>21</v>
      </c>
      <c r="F926" t="s">
        <v>46</v>
      </c>
      <c r="G926">
        <v>2</v>
      </c>
      <c r="H926">
        <v>3339</v>
      </c>
      <c r="I926">
        <v>6678</v>
      </c>
    </row>
    <row r="927" spans="1:9" x14ac:dyDescent="0.3">
      <c r="A927">
        <v>1546</v>
      </c>
      <c r="B927" t="s">
        <v>640</v>
      </c>
      <c r="C927" t="s">
        <v>286</v>
      </c>
      <c r="D927" t="s">
        <v>52</v>
      </c>
      <c r="E927" t="s">
        <v>17</v>
      </c>
      <c r="F927" t="s">
        <v>53</v>
      </c>
      <c r="G927">
        <v>5</v>
      </c>
      <c r="H927">
        <v>4933</v>
      </c>
      <c r="I927">
        <v>24665</v>
      </c>
    </row>
    <row r="928" spans="1:9" x14ac:dyDescent="0.3">
      <c r="A928">
        <v>1224</v>
      </c>
      <c r="B928" t="s">
        <v>384</v>
      </c>
      <c r="C928" t="s">
        <v>501</v>
      </c>
      <c r="D928" t="s">
        <v>16</v>
      </c>
      <c r="E928" t="s">
        <v>17</v>
      </c>
      <c r="F928" t="s">
        <v>101</v>
      </c>
      <c r="G928">
        <v>1</v>
      </c>
      <c r="H928">
        <v>3168</v>
      </c>
      <c r="I928">
        <v>3168</v>
      </c>
    </row>
    <row r="929" spans="1:9" x14ac:dyDescent="0.3">
      <c r="A929">
        <v>1112</v>
      </c>
      <c r="B929" t="s">
        <v>579</v>
      </c>
      <c r="C929" t="s">
        <v>228</v>
      </c>
      <c r="D929" t="s">
        <v>30</v>
      </c>
      <c r="E929" t="s">
        <v>12</v>
      </c>
      <c r="F929" t="s">
        <v>95</v>
      </c>
      <c r="G929">
        <v>4</v>
      </c>
      <c r="H929">
        <v>1380</v>
      </c>
      <c r="I929">
        <v>5520</v>
      </c>
    </row>
    <row r="930" spans="1:9" x14ac:dyDescent="0.3">
      <c r="A930">
        <v>1431</v>
      </c>
      <c r="B930" t="s">
        <v>203</v>
      </c>
      <c r="C930" t="s">
        <v>105</v>
      </c>
      <c r="D930" t="s">
        <v>25</v>
      </c>
      <c r="E930" t="s">
        <v>39</v>
      </c>
      <c r="F930" t="s">
        <v>72</v>
      </c>
      <c r="G930">
        <v>2</v>
      </c>
      <c r="H930">
        <v>3292</v>
      </c>
      <c r="I930">
        <v>6584</v>
      </c>
    </row>
    <row r="931" spans="1:9" x14ac:dyDescent="0.3">
      <c r="A931">
        <v>1434</v>
      </c>
      <c r="B931" t="s">
        <v>415</v>
      </c>
      <c r="C931" t="s">
        <v>454</v>
      </c>
      <c r="D931" t="s">
        <v>62</v>
      </c>
      <c r="E931" t="s">
        <v>83</v>
      </c>
      <c r="F931" t="s">
        <v>57</v>
      </c>
      <c r="G931">
        <v>5</v>
      </c>
      <c r="H931">
        <v>1495</v>
      </c>
      <c r="I931">
        <v>7475</v>
      </c>
    </row>
    <row r="932" spans="1:9" x14ac:dyDescent="0.3">
      <c r="A932">
        <v>1080</v>
      </c>
      <c r="B932" t="s">
        <v>328</v>
      </c>
      <c r="C932" t="s">
        <v>623</v>
      </c>
      <c r="D932" t="s">
        <v>11</v>
      </c>
      <c r="E932" t="s">
        <v>92</v>
      </c>
      <c r="F932" t="s">
        <v>57</v>
      </c>
      <c r="G932">
        <v>2</v>
      </c>
      <c r="H932">
        <v>4048</v>
      </c>
      <c r="I932">
        <v>8096</v>
      </c>
    </row>
    <row r="933" spans="1:9" x14ac:dyDescent="0.3">
      <c r="A933">
        <v>1306</v>
      </c>
      <c r="B933" t="s">
        <v>213</v>
      </c>
      <c r="C933" t="s">
        <v>196</v>
      </c>
      <c r="D933" t="s">
        <v>30</v>
      </c>
      <c r="E933" t="s">
        <v>89</v>
      </c>
      <c r="F933" t="s">
        <v>75</v>
      </c>
      <c r="G933">
        <v>1</v>
      </c>
      <c r="H933">
        <v>1477</v>
      </c>
      <c r="I933">
        <v>1477</v>
      </c>
    </row>
    <row r="934" spans="1:9" x14ac:dyDescent="0.3">
      <c r="A934">
        <v>1177</v>
      </c>
      <c r="B934" t="s">
        <v>369</v>
      </c>
      <c r="C934" t="s">
        <v>527</v>
      </c>
      <c r="D934" t="s">
        <v>62</v>
      </c>
      <c r="E934" t="s">
        <v>92</v>
      </c>
      <c r="F934" t="s">
        <v>78</v>
      </c>
      <c r="G934">
        <v>5</v>
      </c>
      <c r="H934">
        <v>2313</v>
      </c>
      <c r="I934">
        <v>11565</v>
      </c>
    </row>
    <row r="935" spans="1:9" x14ac:dyDescent="0.3">
      <c r="A935">
        <v>1232</v>
      </c>
      <c r="B935" t="s">
        <v>466</v>
      </c>
      <c r="C935" t="s">
        <v>645</v>
      </c>
      <c r="D935" t="s">
        <v>52</v>
      </c>
      <c r="E935" t="s">
        <v>17</v>
      </c>
      <c r="F935" t="s">
        <v>101</v>
      </c>
      <c r="G935">
        <v>2</v>
      </c>
      <c r="H935">
        <v>1935</v>
      </c>
      <c r="I935">
        <v>3870</v>
      </c>
    </row>
    <row r="936" spans="1:9" x14ac:dyDescent="0.3">
      <c r="A936">
        <v>1401</v>
      </c>
      <c r="B936" t="s">
        <v>553</v>
      </c>
      <c r="C936" t="s">
        <v>231</v>
      </c>
      <c r="D936" t="s">
        <v>35</v>
      </c>
      <c r="E936" t="s">
        <v>92</v>
      </c>
      <c r="F936" t="s">
        <v>78</v>
      </c>
      <c r="G936">
        <v>4</v>
      </c>
      <c r="H936">
        <v>3316</v>
      </c>
      <c r="I936">
        <v>13264</v>
      </c>
    </row>
    <row r="937" spans="1:9" x14ac:dyDescent="0.3">
      <c r="A937">
        <v>1434</v>
      </c>
      <c r="B937" t="s">
        <v>559</v>
      </c>
      <c r="C937" t="s">
        <v>548</v>
      </c>
      <c r="D937" t="s">
        <v>35</v>
      </c>
      <c r="E937" t="s">
        <v>83</v>
      </c>
      <c r="F937" t="s">
        <v>32</v>
      </c>
      <c r="G937">
        <v>5</v>
      </c>
      <c r="H937">
        <v>2948</v>
      </c>
      <c r="I937">
        <v>14740</v>
      </c>
    </row>
    <row r="938" spans="1:9" x14ac:dyDescent="0.3">
      <c r="A938">
        <v>1554</v>
      </c>
      <c r="B938" t="s">
        <v>489</v>
      </c>
      <c r="C938" t="s">
        <v>361</v>
      </c>
      <c r="D938" t="s">
        <v>30</v>
      </c>
      <c r="E938" t="s">
        <v>17</v>
      </c>
      <c r="F938" t="s">
        <v>18</v>
      </c>
      <c r="G938">
        <v>2</v>
      </c>
      <c r="H938">
        <v>4719</v>
      </c>
      <c r="I938">
        <v>9438</v>
      </c>
    </row>
    <row r="939" spans="1:9" x14ac:dyDescent="0.3">
      <c r="A939">
        <v>1246</v>
      </c>
      <c r="B939" t="s">
        <v>569</v>
      </c>
      <c r="C939" t="s">
        <v>132</v>
      </c>
      <c r="D939" t="s">
        <v>42</v>
      </c>
      <c r="E939" t="s">
        <v>92</v>
      </c>
      <c r="F939" t="s">
        <v>57</v>
      </c>
      <c r="G939">
        <v>1</v>
      </c>
      <c r="H939">
        <v>2777</v>
      </c>
      <c r="I939">
        <v>2777</v>
      </c>
    </row>
    <row r="940" spans="1:9" x14ac:dyDescent="0.3">
      <c r="A940">
        <v>1365</v>
      </c>
      <c r="B940" t="s">
        <v>275</v>
      </c>
      <c r="C940" t="s">
        <v>583</v>
      </c>
      <c r="D940" t="s">
        <v>35</v>
      </c>
      <c r="E940" t="s">
        <v>49</v>
      </c>
      <c r="F940" t="s">
        <v>67</v>
      </c>
      <c r="G940">
        <v>4</v>
      </c>
      <c r="H940">
        <v>3115</v>
      </c>
      <c r="I940">
        <v>12460</v>
      </c>
    </row>
    <row r="941" spans="1:9" x14ac:dyDescent="0.3">
      <c r="A941">
        <v>1099</v>
      </c>
      <c r="B941" t="s">
        <v>478</v>
      </c>
      <c r="C941" t="s">
        <v>85</v>
      </c>
      <c r="D941" t="s">
        <v>42</v>
      </c>
      <c r="E941" t="s">
        <v>31</v>
      </c>
      <c r="F941" t="s">
        <v>57</v>
      </c>
      <c r="G941">
        <v>5</v>
      </c>
      <c r="H941">
        <v>3330</v>
      </c>
      <c r="I941">
        <v>16650</v>
      </c>
    </row>
    <row r="942" spans="1:9" x14ac:dyDescent="0.3">
      <c r="A942">
        <v>1038</v>
      </c>
      <c r="B942" t="s">
        <v>261</v>
      </c>
      <c r="C942" t="s">
        <v>527</v>
      </c>
      <c r="D942" t="s">
        <v>25</v>
      </c>
      <c r="E942" t="s">
        <v>17</v>
      </c>
      <c r="F942" t="s">
        <v>53</v>
      </c>
      <c r="G942">
        <v>2</v>
      </c>
      <c r="H942">
        <v>1966</v>
      </c>
      <c r="I942">
        <v>3932</v>
      </c>
    </row>
    <row r="943" spans="1:9" x14ac:dyDescent="0.3">
      <c r="A943">
        <v>1164</v>
      </c>
      <c r="B943" t="s">
        <v>58</v>
      </c>
      <c r="C943" t="s">
        <v>619</v>
      </c>
      <c r="D943" t="s">
        <v>35</v>
      </c>
      <c r="E943" t="s">
        <v>12</v>
      </c>
      <c r="F943" t="s">
        <v>75</v>
      </c>
      <c r="G943">
        <v>3</v>
      </c>
      <c r="H943">
        <v>3151</v>
      </c>
      <c r="I943">
        <v>9453</v>
      </c>
    </row>
    <row r="944" spans="1:9" x14ac:dyDescent="0.3">
      <c r="A944">
        <v>1040</v>
      </c>
      <c r="B944" t="s">
        <v>435</v>
      </c>
      <c r="C944" t="s">
        <v>646</v>
      </c>
      <c r="D944" t="s">
        <v>25</v>
      </c>
      <c r="E944" t="s">
        <v>49</v>
      </c>
      <c r="F944" t="s">
        <v>128</v>
      </c>
      <c r="G944">
        <v>2</v>
      </c>
      <c r="H944">
        <v>4844</v>
      </c>
      <c r="I944">
        <v>9688</v>
      </c>
    </row>
    <row r="945" spans="1:9" x14ac:dyDescent="0.3">
      <c r="A945">
        <v>1015</v>
      </c>
      <c r="B945" t="s">
        <v>219</v>
      </c>
      <c r="C945" t="s">
        <v>323</v>
      </c>
      <c r="D945" t="s">
        <v>62</v>
      </c>
      <c r="E945" t="s">
        <v>89</v>
      </c>
      <c r="F945" t="s">
        <v>133</v>
      </c>
      <c r="G945">
        <v>1</v>
      </c>
      <c r="H945">
        <v>3925</v>
      </c>
      <c r="I945">
        <v>3925</v>
      </c>
    </row>
    <row r="946" spans="1:9" x14ac:dyDescent="0.3">
      <c r="A946">
        <v>1165</v>
      </c>
      <c r="B946" t="s">
        <v>246</v>
      </c>
      <c r="C946" t="s">
        <v>436</v>
      </c>
      <c r="D946" t="s">
        <v>25</v>
      </c>
      <c r="E946" t="s">
        <v>89</v>
      </c>
      <c r="F946" t="s">
        <v>95</v>
      </c>
      <c r="G946">
        <v>2</v>
      </c>
      <c r="H946">
        <v>3974</v>
      </c>
      <c r="I946">
        <v>7948</v>
      </c>
    </row>
    <row r="947" spans="1:9" x14ac:dyDescent="0.3">
      <c r="A947">
        <v>1262</v>
      </c>
      <c r="B947" t="s">
        <v>349</v>
      </c>
      <c r="C947" t="s">
        <v>156</v>
      </c>
      <c r="D947" t="s">
        <v>42</v>
      </c>
      <c r="E947" t="s">
        <v>140</v>
      </c>
      <c r="F947" t="s">
        <v>72</v>
      </c>
      <c r="G947">
        <v>3</v>
      </c>
      <c r="H947">
        <v>2548</v>
      </c>
      <c r="I947">
        <v>7644</v>
      </c>
    </row>
    <row r="948" spans="1:9" x14ac:dyDescent="0.3">
      <c r="A948">
        <v>1132</v>
      </c>
      <c r="B948" t="s">
        <v>411</v>
      </c>
      <c r="C948" t="s">
        <v>230</v>
      </c>
      <c r="D948" t="s">
        <v>52</v>
      </c>
      <c r="E948" t="s">
        <v>89</v>
      </c>
      <c r="F948" t="s">
        <v>95</v>
      </c>
      <c r="G948">
        <v>5</v>
      </c>
      <c r="H948">
        <v>3887</v>
      </c>
      <c r="I948">
        <v>19435</v>
      </c>
    </row>
    <row r="949" spans="1:9" x14ac:dyDescent="0.3">
      <c r="A949">
        <v>1043</v>
      </c>
      <c r="B949" t="s">
        <v>113</v>
      </c>
      <c r="C949" t="s">
        <v>175</v>
      </c>
      <c r="D949" t="s">
        <v>11</v>
      </c>
      <c r="E949" t="s">
        <v>83</v>
      </c>
      <c r="F949" t="s">
        <v>93</v>
      </c>
      <c r="G949">
        <v>1</v>
      </c>
      <c r="H949">
        <v>2581</v>
      </c>
      <c r="I949">
        <v>2581</v>
      </c>
    </row>
    <row r="950" spans="1:9" x14ac:dyDescent="0.3">
      <c r="A950">
        <v>1074</v>
      </c>
      <c r="B950" t="s">
        <v>155</v>
      </c>
      <c r="C950" t="s">
        <v>276</v>
      </c>
      <c r="D950" t="s">
        <v>62</v>
      </c>
      <c r="E950" t="s">
        <v>21</v>
      </c>
      <c r="F950" t="s">
        <v>124</v>
      </c>
      <c r="G950">
        <v>4</v>
      </c>
      <c r="H950">
        <v>4583</v>
      </c>
      <c r="I950">
        <v>18332</v>
      </c>
    </row>
    <row r="951" spans="1:9" x14ac:dyDescent="0.3">
      <c r="A951">
        <v>1087</v>
      </c>
      <c r="B951" t="s">
        <v>470</v>
      </c>
      <c r="C951" t="s">
        <v>539</v>
      </c>
      <c r="D951" t="s">
        <v>16</v>
      </c>
      <c r="E951" t="s">
        <v>92</v>
      </c>
      <c r="F951" t="s">
        <v>78</v>
      </c>
      <c r="G951">
        <v>4</v>
      </c>
      <c r="H951">
        <v>2892</v>
      </c>
      <c r="I951">
        <v>11568</v>
      </c>
    </row>
    <row r="952" spans="1:9" x14ac:dyDescent="0.3">
      <c r="A952">
        <v>1497</v>
      </c>
      <c r="B952" t="s">
        <v>166</v>
      </c>
      <c r="C952" t="s">
        <v>521</v>
      </c>
      <c r="D952" t="s">
        <v>62</v>
      </c>
      <c r="E952" t="s">
        <v>21</v>
      </c>
      <c r="F952" t="s">
        <v>124</v>
      </c>
      <c r="G952">
        <v>1</v>
      </c>
      <c r="H952">
        <v>4665</v>
      </c>
      <c r="I952">
        <v>4665</v>
      </c>
    </row>
    <row r="953" spans="1:9" x14ac:dyDescent="0.3">
      <c r="A953">
        <v>1218</v>
      </c>
      <c r="B953" t="s">
        <v>330</v>
      </c>
      <c r="C953" t="s">
        <v>460</v>
      </c>
      <c r="D953" t="s">
        <v>42</v>
      </c>
      <c r="E953" t="s">
        <v>92</v>
      </c>
      <c r="F953" t="s">
        <v>57</v>
      </c>
      <c r="G953">
        <v>3</v>
      </c>
      <c r="H953">
        <v>3723</v>
      </c>
      <c r="I953">
        <v>11169</v>
      </c>
    </row>
    <row r="954" spans="1:9" x14ac:dyDescent="0.3">
      <c r="A954">
        <v>1216</v>
      </c>
      <c r="B954" t="s">
        <v>401</v>
      </c>
      <c r="C954" t="s">
        <v>193</v>
      </c>
      <c r="D954" t="s">
        <v>11</v>
      </c>
      <c r="E954" t="s">
        <v>21</v>
      </c>
      <c r="F954" t="s">
        <v>22</v>
      </c>
      <c r="G954">
        <v>1</v>
      </c>
      <c r="H954">
        <v>1361</v>
      </c>
      <c r="I954">
        <v>1361</v>
      </c>
    </row>
    <row r="955" spans="1:9" x14ac:dyDescent="0.3">
      <c r="A955">
        <v>1305</v>
      </c>
      <c r="B955" t="s">
        <v>435</v>
      </c>
      <c r="C955" t="s">
        <v>533</v>
      </c>
      <c r="D955" t="s">
        <v>30</v>
      </c>
      <c r="E955" t="s">
        <v>49</v>
      </c>
      <c r="F955" t="s">
        <v>67</v>
      </c>
      <c r="G955">
        <v>2</v>
      </c>
      <c r="H955">
        <v>640</v>
      </c>
      <c r="I955">
        <v>1280</v>
      </c>
    </row>
    <row r="956" spans="1:9" x14ac:dyDescent="0.3">
      <c r="A956">
        <v>1350</v>
      </c>
      <c r="B956" t="s">
        <v>346</v>
      </c>
      <c r="C956" t="s">
        <v>218</v>
      </c>
      <c r="D956" t="s">
        <v>62</v>
      </c>
      <c r="E956" t="s">
        <v>140</v>
      </c>
      <c r="F956" t="s">
        <v>101</v>
      </c>
      <c r="G956">
        <v>4</v>
      </c>
      <c r="H956">
        <v>4586</v>
      </c>
      <c r="I956">
        <v>18344</v>
      </c>
    </row>
    <row r="957" spans="1:9" x14ac:dyDescent="0.3">
      <c r="A957">
        <v>1447</v>
      </c>
      <c r="B957" t="s">
        <v>383</v>
      </c>
      <c r="C957" t="s">
        <v>228</v>
      </c>
      <c r="D957" t="s">
        <v>25</v>
      </c>
      <c r="E957" t="s">
        <v>49</v>
      </c>
      <c r="F957" t="s">
        <v>124</v>
      </c>
      <c r="G957">
        <v>5</v>
      </c>
      <c r="H957">
        <v>1384</v>
      </c>
      <c r="I957">
        <v>6920</v>
      </c>
    </row>
    <row r="958" spans="1:9" x14ac:dyDescent="0.3">
      <c r="A958">
        <v>1324</v>
      </c>
      <c r="B958" t="s">
        <v>471</v>
      </c>
      <c r="C958" t="s">
        <v>339</v>
      </c>
      <c r="D958" t="s">
        <v>35</v>
      </c>
      <c r="E958" t="s">
        <v>45</v>
      </c>
      <c r="F958" t="s">
        <v>128</v>
      </c>
      <c r="G958">
        <v>1</v>
      </c>
      <c r="H958">
        <v>3529</v>
      </c>
      <c r="I958">
        <v>3529</v>
      </c>
    </row>
    <row r="959" spans="1:9" x14ac:dyDescent="0.3">
      <c r="A959">
        <v>1461</v>
      </c>
      <c r="B959" t="s">
        <v>176</v>
      </c>
      <c r="C959" t="s">
        <v>38</v>
      </c>
      <c r="D959" t="s">
        <v>42</v>
      </c>
      <c r="E959" t="s">
        <v>136</v>
      </c>
      <c r="F959" t="s">
        <v>67</v>
      </c>
      <c r="G959">
        <v>2</v>
      </c>
      <c r="H959">
        <v>1737</v>
      </c>
      <c r="I959">
        <v>3474</v>
      </c>
    </row>
    <row r="960" spans="1:9" x14ac:dyDescent="0.3">
      <c r="A960">
        <v>1170</v>
      </c>
      <c r="B960" t="s">
        <v>513</v>
      </c>
      <c r="C960" t="s">
        <v>208</v>
      </c>
      <c r="D960" t="s">
        <v>16</v>
      </c>
      <c r="E960" t="s">
        <v>39</v>
      </c>
      <c r="F960" t="s">
        <v>101</v>
      </c>
      <c r="G960">
        <v>5</v>
      </c>
      <c r="H960">
        <v>317</v>
      </c>
      <c r="I960">
        <v>1585</v>
      </c>
    </row>
    <row r="961" spans="1:9" x14ac:dyDescent="0.3">
      <c r="A961">
        <v>1309</v>
      </c>
      <c r="B961" t="s">
        <v>188</v>
      </c>
      <c r="C961" t="s">
        <v>288</v>
      </c>
      <c r="D961" t="s">
        <v>52</v>
      </c>
      <c r="E961" t="s">
        <v>92</v>
      </c>
      <c r="F961" t="s">
        <v>78</v>
      </c>
      <c r="G961">
        <v>4</v>
      </c>
      <c r="H961">
        <v>3081</v>
      </c>
      <c r="I961">
        <v>12324</v>
      </c>
    </row>
    <row r="962" spans="1:9" x14ac:dyDescent="0.3">
      <c r="A962">
        <v>1535</v>
      </c>
      <c r="B962" t="s">
        <v>434</v>
      </c>
      <c r="C962" t="s">
        <v>157</v>
      </c>
      <c r="D962" t="s">
        <v>35</v>
      </c>
      <c r="E962" t="s">
        <v>140</v>
      </c>
      <c r="F962" t="s">
        <v>53</v>
      </c>
      <c r="G962">
        <v>2</v>
      </c>
      <c r="H962">
        <v>4728</v>
      </c>
      <c r="I962">
        <v>9456</v>
      </c>
    </row>
    <row r="963" spans="1:9" x14ac:dyDescent="0.3">
      <c r="A963">
        <v>1390</v>
      </c>
      <c r="B963" t="s">
        <v>353</v>
      </c>
      <c r="C963" t="s">
        <v>263</v>
      </c>
      <c r="D963" t="s">
        <v>25</v>
      </c>
      <c r="E963" t="s">
        <v>136</v>
      </c>
      <c r="F963" t="s">
        <v>22</v>
      </c>
      <c r="G963">
        <v>1</v>
      </c>
      <c r="H963">
        <v>934</v>
      </c>
      <c r="I963">
        <v>934</v>
      </c>
    </row>
    <row r="964" spans="1:9" x14ac:dyDescent="0.3">
      <c r="A964">
        <v>1421</v>
      </c>
      <c r="B964" t="s">
        <v>399</v>
      </c>
      <c r="C964" t="s">
        <v>258</v>
      </c>
      <c r="D964" t="s">
        <v>30</v>
      </c>
      <c r="E964" t="s">
        <v>83</v>
      </c>
      <c r="F964" t="s">
        <v>78</v>
      </c>
      <c r="G964">
        <v>4</v>
      </c>
      <c r="H964">
        <v>1935</v>
      </c>
      <c r="I964">
        <v>7740</v>
      </c>
    </row>
    <row r="965" spans="1:9" x14ac:dyDescent="0.3">
      <c r="A965">
        <v>1390</v>
      </c>
      <c r="B965" t="s">
        <v>560</v>
      </c>
      <c r="C965" t="s">
        <v>592</v>
      </c>
      <c r="D965" t="s">
        <v>62</v>
      </c>
      <c r="E965" t="s">
        <v>21</v>
      </c>
      <c r="G965">
        <v>4</v>
      </c>
      <c r="H965">
        <v>3442</v>
      </c>
      <c r="I965">
        <v>13768</v>
      </c>
    </row>
    <row r="966" spans="1:9" x14ac:dyDescent="0.3">
      <c r="A966">
        <v>1229</v>
      </c>
      <c r="B966" t="s">
        <v>205</v>
      </c>
      <c r="C966" t="s">
        <v>647</v>
      </c>
      <c r="D966" t="s">
        <v>52</v>
      </c>
      <c r="E966" t="s">
        <v>36</v>
      </c>
      <c r="F966" t="s">
        <v>95</v>
      </c>
      <c r="G966">
        <v>2</v>
      </c>
      <c r="H966">
        <v>234</v>
      </c>
      <c r="I966">
        <v>468</v>
      </c>
    </row>
    <row r="967" spans="1:9" x14ac:dyDescent="0.3">
      <c r="A967">
        <v>1015</v>
      </c>
      <c r="B967" t="s">
        <v>313</v>
      </c>
      <c r="C967" t="s">
        <v>438</v>
      </c>
      <c r="D967" t="s">
        <v>35</v>
      </c>
      <c r="E967" t="s">
        <v>36</v>
      </c>
      <c r="F967" t="s">
        <v>133</v>
      </c>
      <c r="G967">
        <v>2</v>
      </c>
      <c r="H967">
        <v>4887</v>
      </c>
      <c r="I967">
        <v>9774</v>
      </c>
    </row>
    <row r="968" spans="1:9" x14ac:dyDescent="0.3">
      <c r="A968">
        <v>1400</v>
      </c>
      <c r="B968" t="s">
        <v>625</v>
      </c>
      <c r="C968" t="s">
        <v>350</v>
      </c>
      <c r="D968" t="s">
        <v>11</v>
      </c>
      <c r="E968" t="s">
        <v>45</v>
      </c>
      <c r="F968" t="s">
        <v>124</v>
      </c>
      <c r="G968">
        <v>4</v>
      </c>
      <c r="H968">
        <v>1623</v>
      </c>
      <c r="I968">
        <v>6492</v>
      </c>
    </row>
    <row r="969" spans="1:9" x14ac:dyDescent="0.3">
      <c r="A969">
        <v>1162</v>
      </c>
      <c r="B969" t="s">
        <v>262</v>
      </c>
      <c r="C969" t="s">
        <v>173</v>
      </c>
      <c r="D969" t="s">
        <v>52</v>
      </c>
      <c r="E969" t="s">
        <v>83</v>
      </c>
      <c r="F969" t="s">
        <v>93</v>
      </c>
      <c r="G969">
        <v>3</v>
      </c>
      <c r="H969">
        <v>4729</v>
      </c>
      <c r="I969">
        <v>14187</v>
      </c>
    </row>
    <row r="970" spans="1:9" x14ac:dyDescent="0.3">
      <c r="A970">
        <v>1095</v>
      </c>
      <c r="B970" t="s">
        <v>14</v>
      </c>
      <c r="C970" t="s">
        <v>152</v>
      </c>
      <c r="D970" t="s">
        <v>42</v>
      </c>
      <c r="E970" t="s">
        <v>49</v>
      </c>
      <c r="F970" t="s">
        <v>124</v>
      </c>
      <c r="G970">
        <v>5</v>
      </c>
      <c r="H970">
        <v>4653</v>
      </c>
      <c r="I970">
        <v>23265</v>
      </c>
    </row>
    <row r="971" spans="1:9" x14ac:dyDescent="0.3">
      <c r="A971">
        <v>1391</v>
      </c>
      <c r="B971" t="s">
        <v>9</v>
      </c>
      <c r="C971" t="s">
        <v>210</v>
      </c>
      <c r="D971" t="s">
        <v>11</v>
      </c>
      <c r="E971" t="s">
        <v>100</v>
      </c>
      <c r="F971" t="s">
        <v>53</v>
      </c>
      <c r="G971">
        <v>2</v>
      </c>
      <c r="H971">
        <v>2016</v>
      </c>
      <c r="I971">
        <v>4032</v>
      </c>
    </row>
    <row r="972" spans="1:9" x14ac:dyDescent="0.3">
      <c r="A972">
        <v>1251</v>
      </c>
      <c r="B972" t="s">
        <v>396</v>
      </c>
      <c r="C972" t="s">
        <v>284</v>
      </c>
      <c r="D972" t="s">
        <v>25</v>
      </c>
      <c r="E972" t="s">
        <v>36</v>
      </c>
      <c r="F972" t="s">
        <v>27</v>
      </c>
      <c r="G972">
        <v>2</v>
      </c>
      <c r="H972">
        <v>389</v>
      </c>
      <c r="I972">
        <v>778</v>
      </c>
    </row>
    <row r="973" spans="1:9" x14ac:dyDescent="0.3">
      <c r="A973">
        <v>1105</v>
      </c>
      <c r="B973" t="s">
        <v>568</v>
      </c>
      <c r="C973" t="s">
        <v>243</v>
      </c>
      <c r="D973" t="s">
        <v>30</v>
      </c>
      <c r="E973" t="s">
        <v>31</v>
      </c>
      <c r="F973" t="s">
        <v>32</v>
      </c>
      <c r="G973">
        <v>3</v>
      </c>
      <c r="H973">
        <v>1679</v>
      </c>
      <c r="I973">
        <v>5037</v>
      </c>
    </row>
    <row r="974" spans="1:9" x14ac:dyDescent="0.3">
      <c r="A974">
        <v>1370</v>
      </c>
      <c r="B974" t="s">
        <v>183</v>
      </c>
      <c r="C974" t="s">
        <v>404</v>
      </c>
      <c r="D974" t="s">
        <v>52</v>
      </c>
      <c r="E974" t="s">
        <v>83</v>
      </c>
      <c r="F974" t="s">
        <v>78</v>
      </c>
      <c r="G974">
        <v>1</v>
      </c>
      <c r="H974">
        <v>4185</v>
      </c>
      <c r="I974">
        <v>4185</v>
      </c>
    </row>
    <row r="975" spans="1:9" x14ac:dyDescent="0.3">
      <c r="A975">
        <v>1429</v>
      </c>
      <c r="B975" t="s">
        <v>474</v>
      </c>
      <c r="C975" t="s">
        <v>612</v>
      </c>
      <c r="D975" t="s">
        <v>11</v>
      </c>
      <c r="E975" t="s">
        <v>12</v>
      </c>
      <c r="F975" t="s">
        <v>75</v>
      </c>
      <c r="G975">
        <v>3</v>
      </c>
      <c r="H975">
        <v>283</v>
      </c>
      <c r="I975">
        <v>849</v>
      </c>
    </row>
    <row r="976" spans="1:9" x14ac:dyDescent="0.3">
      <c r="A976">
        <v>1032</v>
      </c>
      <c r="B976" t="s">
        <v>648</v>
      </c>
      <c r="C976" t="s">
        <v>305</v>
      </c>
      <c r="D976" t="s">
        <v>42</v>
      </c>
      <c r="E976" t="s">
        <v>26</v>
      </c>
      <c r="F976" t="s">
        <v>95</v>
      </c>
      <c r="G976">
        <v>2</v>
      </c>
      <c r="H976">
        <v>4474</v>
      </c>
      <c r="I976">
        <v>8948</v>
      </c>
    </row>
    <row r="977" spans="1:9" x14ac:dyDescent="0.3">
      <c r="A977">
        <v>1197</v>
      </c>
      <c r="B977" t="s">
        <v>129</v>
      </c>
      <c r="C977" t="s">
        <v>442</v>
      </c>
      <c r="D977" t="s">
        <v>16</v>
      </c>
      <c r="E977" t="s">
        <v>31</v>
      </c>
      <c r="F977" t="s">
        <v>57</v>
      </c>
      <c r="G977">
        <v>3</v>
      </c>
      <c r="H977">
        <v>1140</v>
      </c>
      <c r="I977">
        <v>3420</v>
      </c>
    </row>
    <row r="978" spans="1:9" x14ac:dyDescent="0.3">
      <c r="A978">
        <v>1141</v>
      </c>
      <c r="B978" t="s">
        <v>40</v>
      </c>
      <c r="C978" t="s">
        <v>132</v>
      </c>
      <c r="D978" t="s">
        <v>62</v>
      </c>
      <c r="E978" t="s">
        <v>100</v>
      </c>
      <c r="F978" t="s">
        <v>101</v>
      </c>
      <c r="G978">
        <v>2</v>
      </c>
      <c r="H978">
        <v>953</v>
      </c>
      <c r="I978">
        <v>1906</v>
      </c>
    </row>
    <row r="979" spans="1:9" x14ac:dyDescent="0.3">
      <c r="A979">
        <v>1301</v>
      </c>
      <c r="B979" t="s">
        <v>320</v>
      </c>
      <c r="C979" t="s">
        <v>210</v>
      </c>
      <c r="D979" t="s">
        <v>16</v>
      </c>
      <c r="E979" t="s">
        <v>45</v>
      </c>
      <c r="F979" t="s">
        <v>46</v>
      </c>
      <c r="G979">
        <v>3</v>
      </c>
      <c r="H979">
        <v>1616</v>
      </c>
      <c r="I979">
        <v>4848</v>
      </c>
    </row>
    <row r="980" spans="1:9" x14ac:dyDescent="0.3">
      <c r="A980">
        <v>1287</v>
      </c>
      <c r="B980" t="s">
        <v>394</v>
      </c>
      <c r="C980" t="s">
        <v>267</v>
      </c>
      <c r="D980" t="s">
        <v>62</v>
      </c>
      <c r="E980" t="s">
        <v>12</v>
      </c>
      <c r="F980" t="s">
        <v>13</v>
      </c>
      <c r="G980">
        <v>4</v>
      </c>
      <c r="H980">
        <v>3854</v>
      </c>
      <c r="I980">
        <v>15416</v>
      </c>
    </row>
    <row r="981" spans="1:9" x14ac:dyDescent="0.3">
      <c r="A981">
        <v>1326</v>
      </c>
      <c r="B981" t="s">
        <v>596</v>
      </c>
      <c r="C981" t="s">
        <v>121</v>
      </c>
      <c r="D981" t="s">
        <v>35</v>
      </c>
      <c r="E981" t="s">
        <v>49</v>
      </c>
      <c r="F981" t="s">
        <v>46</v>
      </c>
      <c r="G981">
        <v>3</v>
      </c>
      <c r="H981">
        <v>726</v>
      </c>
      <c r="I981">
        <v>2178</v>
      </c>
    </row>
    <row r="982" spans="1:9" x14ac:dyDescent="0.3">
      <c r="A982">
        <v>1523</v>
      </c>
      <c r="B982" t="s">
        <v>277</v>
      </c>
      <c r="C982" t="s">
        <v>71</v>
      </c>
      <c r="D982" t="s">
        <v>52</v>
      </c>
      <c r="E982" t="s">
        <v>21</v>
      </c>
      <c r="F982" t="s">
        <v>22</v>
      </c>
      <c r="G982">
        <v>1</v>
      </c>
      <c r="H982">
        <v>1139</v>
      </c>
      <c r="I982">
        <v>1139</v>
      </c>
    </row>
    <row r="983" spans="1:9" x14ac:dyDescent="0.3">
      <c r="A983">
        <v>1190</v>
      </c>
      <c r="B983" t="s">
        <v>541</v>
      </c>
      <c r="C983" t="s">
        <v>135</v>
      </c>
      <c r="D983" t="s">
        <v>35</v>
      </c>
      <c r="E983" t="s">
        <v>56</v>
      </c>
      <c r="F983" t="s">
        <v>93</v>
      </c>
      <c r="G983">
        <v>2</v>
      </c>
      <c r="H983">
        <v>2775</v>
      </c>
      <c r="I983">
        <v>5550</v>
      </c>
    </row>
    <row r="984" spans="1:9" x14ac:dyDescent="0.3">
      <c r="A984">
        <v>1011</v>
      </c>
      <c r="B984" t="s">
        <v>195</v>
      </c>
      <c r="C984" t="s">
        <v>44</v>
      </c>
      <c r="D984" t="s">
        <v>16</v>
      </c>
      <c r="E984" t="s">
        <v>21</v>
      </c>
      <c r="F984" t="s">
        <v>67</v>
      </c>
      <c r="G984">
        <v>5</v>
      </c>
      <c r="H984">
        <v>742</v>
      </c>
      <c r="I984">
        <v>3710</v>
      </c>
    </row>
    <row r="985" spans="1:9" x14ac:dyDescent="0.3">
      <c r="A985">
        <v>1539</v>
      </c>
      <c r="B985" t="s">
        <v>233</v>
      </c>
      <c r="C985" t="s">
        <v>267</v>
      </c>
      <c r="D985" t="s">
        <v>52</v>
      </c>
      <c r="E985" t="s">
        <v>89</v>
      </c>
      <c r="F985" t="s">
        <v>133</v>
      </c>
      <c r="G985">
        <v>4</v>
      </c>
      <c r="H985">
        <v>2803</v>
      </c>
      <c r="I985">
        <v>11212</v>
      </c>
    </row>
    <row r="986" spans="1:9" x14ac:dyDescent="0.3">
      <c r="A986">
        <v>1050</v>
      </c>
      <c r="B986" t="s">
        <v>640</v>
      </c>
      <c r="C986" t="s">
        <v>258</v>
      </c>
      <c r="D986" t="s">
        <v>25</v>
      </c>
      <c r="E986" t="s">
        <v>92</v>
      </c>
      <c r="F986" t="s">
        <v>112</v>
      </c>
      <c r="G986">
        <v>1</v>
      </c>
      <c r="H986">
        <v>3909</v>
      </c>
      <c r="I986">
        <v>3909</v>
      </c>
    </row>
    <row r="987" spans="1:9" x14ac:dyDescent="0.3">
      <c r="A987">
        <v>1392</v>
      </c>
      <c r="B987" t="s">
        <v>451</v>
      </c>
      <c r="C987" t="s">
        <v>526</v>
      </c>
      <c r="D987" t="s">
        <v>42</v>
      </c>
      <c r="E987" t="s">
        <v>83</v>
      </c>
      <c r="F987" t="s">
        <v>112</v>
      </c>
      <c r="G987">
        <v>4</v>
      </c>
      <c r="H987">
        <v>2529</v>
      </c>
      <c r="I987">
        <v>10116</v>
      </c>
    </row>
    <row r="988" spans="1:9" x14ac:dyDescent="0.3">
      <c r="A988">
        <v>1037</v>
      </c>
      <c r="B988" t="s">
        <v>376</v>
      </c>
      <c r="C988" t="s">
        <v>61</v>
      </c>
      <c r="D988" t="s">
        <v>25</v>
      </c>
      <c r="E988" t="s">
        <v>83</v>
      </c>
      <c r="F988" t="s">
        <v>112</v>
      </c>
      <c r="G988">
        <v>4</v>
      </c>
      <c r="H988">
        <v>979</v>
      </c>
      <c r="I988">
        <v>3916</v>
      </c>
    </row>
    <row r="989" spans="1:9" x14ac:dyDescent="0.3">
      <c r="A989">
        <v>1308</v>
      </c>
      <c r="B989" t="s">
        <v>270</v>
      </c>
      <c r="C989" t="s">
        <v>372</v>
      </c>
      <c r="D989" t="s">
        <v>35</v>
      </c>
      <c r="E989" t="s">
        <v>89</v>
      </c>
      <c r="F989" t="s">
        <v>75</v>
      </c>
      <c r="G989">
        <v>4</v>
      </c>
      <c r="H989">
        <v>585</v>
      </c>
      <c r="I989">
        <v>2340</v>
      </c>
    </row>
    <row r="990" spans="1:9" x14ac:dyDescent="0.3">
      <c r="A990">
        <v>1465</v>
      </c>
      <c r="B990" t="s">
        <v>640</v>
      </c>
      <c r="C990" t="s">
        <v>126</v>
      </c>
      <c r="D990" t="s">
        <v>42</v>
      </c>
      <c r="E990" t="s">
        <v>83</v>
      </c>
      <c r="F990" t="s">
        <v>112</v>
      </c>
      <c r="G990">
        <v>2</v>
      </c>
      <c r="H990">
        <v>591</v>
      </c>
      <c r="I990">
        <v>1182</v>
      </c>
    </row>
    <row r="991" spans="1:9" x14ac:dyDescent="0.3">
      <c r="A991">
        <v>1330</v>
      </c>
      <c r="B991" t="s">
        <v>554</v>
      </c>
      <c r="C991" t="s">
        <v>278</v>
      </c>
      <c r="D991" t="s">
        <v>25</v>
      </c>
      <c r="E991" t="s">
        <v>49</v>
      </c>
      <c r="F991" t="s">
        <v>128</v>
      </c>
      <c r="G991">
        <v>2</v>
      </c>
      <c r="H991">
        <v>3221</v>
      </c>
      <c r="I991">
        <v>6442</v>
      </c>
    </row>
    <row r="992" spans="1:9" x14ac:dyDescent="0.3">
      <c r="A992">
        <v>1005</v>
      </c>
      <c r="B992" t="s">
        <v>554</v>
      </c>
      <c r="C992" t="s">
        <v>538</v>
      </c>
      <c r="D992" t="s">
        <v>25</v>
      </c>
      <c r="E992" t="s">
        <v>83</v>
      </c>
      <c r="F992" t="s">
        <v>112</v>
      </c>
      <c r="G992">
        <v>1</v>
      </c>
      <c r="H992">
        <v>2692</v>
      </c>
      <c r="I992">
        <v>2692</v>
      </c>
    </row>
    <row r="993" spans="1:9" x14ac:dyDescent="0.3">
      <c r="A993">
        <v>1388</v>
      </c>
      <c r="B993" t="s">
        <v>476</v>
      </c>
      <c r="C993" t="s">
        <v>20</v>
      </c>
      <c r="D993" t="s">
        <v>25</v>
      </c>
      <c r="E993" t="s">
        <v>140</v>
      </c>
      <c r="F993" t="s">
        <v>114</v>
      </c>
      <c r="G993">
        <v>2</v>
      </c>
      <c r="H993">
        <v>2815</v>
      </c>
      <c r="I993">
        <v>5630</v>
      </c>
    </row>
    <row r="994" spans="1:9" x14ac:dyDescent="0.3">
      <c r="A994">
        <v>1423</v>
      </c>
      <c r="B994" t="s">
        <v>455</v>
      </c>
      <c r="C994" t="s">
        <v>445</v>
      </c>
      <c r="D994" t="s">
        <v>62</v>
      </c>
      <c r="E994" t="s">
        <v>31</v>
      </c>
      <c r="F994" t="s">
        <v>57</v>
      </c>
      <c r="G994">
        <v>4</v>
      </c>
      <c r="H994">
        <v>2498</v>
      </c>
      <c r="I994">
        <v>9992</v>
      </c>
    </row>
    <row r="995" spans="1:9" x14ac:dyDescent="0.3">
      <c r="A995">
        <v>1231</v>
      </c>
      <c r="B995" t="s">
        <v>14</v>
      </c>
      <c r="C995" t="s">
        <v>518</v>
      </c>
      <c r="D995" t="s">
        <v>16</v>
      </c>
      <c r="E995" t="s">
        <v>36</v>
      </c>
      <c r="F995" t="s">
        <v>27</v>
      </c>
      <c r="G995">
        <v>2</v>
      </c>
      <c r="H995">
        <v>839</v>
      </c>
      <c r="I995">
        <v>1678</v>
      </c>
    </row>
    <row r="996" spans="1:9" x14ac:dyDescent="0.3">
      <c r="A996">
        <v>1217</v>
      </c>
      <c r="B996" t="s">
        <v>632</v>
      </c>
      <c r="C996" t="s">
        <v>356</v>
      </c>
      <c r="D996" t="s">
        <v>16</v>
      </c>
      <c r="E996" t="s">
        <v>140</v>
      </c>
      <c r="F996" t="s">
        <v>53</v>
      </c>
      <c r="G996">
        <v>4</v>
      </c>
      <c r="H996">
        <v>1056</v>
      </c>
      <c r="I996">
        <v>4224</v>
      </c>
    </row>
    <row r="997" spans="1:9" x14ac:dyDescent="0.3">
      <c r="A997">
        <v>1540</v>
      </c>
      <c r="B997" t="s">
        <v>73</v>
      </c>
      <c r="C997" t="s">
        <v>238</v>
      </c>
      <c r="D997" t="s">
        <v>11</v>
      </c>
      <c r="E997" t="s">
        <v>26</v>
      </c>
      <c r="F997" t="s">
        <v>95</v>
      </c>
      <c r="G997">
        <v>5</v>
      </c>
      <c r="H997">
        <v>1065</v>
      </c>
      <c r="I997">
        <v>5325</v>
      </c>
    </row>
    <row r="998" spans="1:9" x14ac:dyDescent="0.3">
      <c r="A998">
        <v>1372</v>
      </c>
      <c r="B998" t="s">
        <v>392</v>
      </c>
      <c r="C998" t="s">
        <v>305</v>
      </c>
      <c r="D998" t="s">
        <v>52</v>
      </c>
      <c r="E998" t="s">
        <v>49</v>
      </c>
      <c r="F998" t="s">
        <v>67</v>
      </c>
      <c r="G998">
        <v>2</v>
      </c>
      <c r="H998">
        <v>762</v>
      </c>
      <c r="I998">
        <v>1524</v>
      </c>
    </row>
    <row r="999" spans="1:9" x14ac:dyDescent="0.3">
      <c r="A999">
        <v>1314</v>
      </c>
      <c r="B999" t="s">
        <v>28</v>
      </c>
      <c r="C999" t="s">
        <v>273</v>
      </c>
      <c r="D999" t="s">
        <v>25</v>
      </c>
      <c r="E999" t="s">
        <v>92</v>
      </c>
      <c r="G999">
        <v>1</v>
      </c>
      <c r="H999">
        <v>2170</v>
      </c>
      <c r="I999">
        <v>2170</v>
      </c>
    </row>
    <row r="1000" spans="1:9" x14ac:dyDescent="0.3">
      <c r="A1000">
        <v>1273</v>
      </c>
      <c r="B1000" t="s">
        <v>601</v>
      </c>
      <c r="C1000" t="s">
        <v>342</v>
      </c>
      <c r="D1000" t="s">
        <v>25</v>
      </c>
      <c r="E1000" t="s">
        <v>21</v>
      </c>
      <c r="F1000" t="s">
        <v>22</v>
      </c>
      <c r="G1000">
        <v>5</v>
      </c>
      <c r="H1000">
        <v>888</v>
      </c>
      <c r="I1000">
        <v>4440</v>
      </c>
    </row>
    <row r="1001" spans="1:9" x14ac:dyDescent="0.3">
      <c r="A1001">
        <v>1406</v>
      </c>
      <c r="B1001" t="s">
        <v>369</v>
      </c>
      <c r="C1001" t="s">
        <v>444</v>
      </c>
      <c r="D1001" t="s">
        <v>30</v>
      </c>
      <c r="E1001" t="s">
        <v>26</v>
      </c>
      <c r="F1001" t="s">
        <v>27</v>
      </c>
      <c r="G1001">
        <v>3</v>
      </c>
      <c r="H1001">
        <v>1001</v>
      </c>
      <c r="I1001">
        <v>3003</v>
      </c>
    </row>
    <row r="1002" spans="1:9" x14ac:dyDescent="0.3">
      <c r="A1002">
        <v>1432</v>
      </c>
      <c r="B1002" t="s">
        <v>559</v>
      </c>
      <c r="C1002" t="s">
        <v>282</v>
      </c>
      <c r="D1002" t="s">
        <v>30</v>
      </c>
      <c r="E1002" t="s">
        <v>39</v>
      </c>
      <c r="F1002" t="s">
        <v>53</v>
      </c>
      <c r="G1002">
        <v>5</v>
      </c>
      <c r="H1002">
        <v>4243</v>
      </c>
      <c r="I1002">
        <v>21215</v>
      </c>
    </row>
    <row r="1003" spans="1:9" x14ac:dyDescent="0.3">
      <c r="A1003">
        <v>1051</v>
      </c>
      <c r="B1003" t="s">
        <v>398</v>
      </c>
      <c r="C1003" t="s">
        <v>82</v>
      </c>
      <c r="D1003" t="s">
        <v>42</v>
      </c>
      <c r="E1003" t="s">
        <v>83</v>
      </c>
      <c r="F1003" t="s">
        <v>93</v>
      </c>
      <c r="G1003">
        <v>1</v>
      </c>
      <c r="H1003">
        <v>4912</v>
      </c>
      <c r="I1003">
        <v>4912</v>
      </c>
    </row>
    <row r="1004" spans="1:9" x14ac:dyDescent="0.3">
      <c r="A1004">
        <v>1103</v>
      </c>
      <c r="B1004" t="s">
        <v>237</v>
      </c>
      <c r="C1004" t="s">
        <v>326</v>
      </c>
      <c r="D1004" t="s">
        <v>25</v>
      </c>
      <c r="E1004" t="s">
        <v>45</v>
      </c>
      <c r="F1004" t="s">
        <v>46</v>
      </c>
      <c r="G1004">
        <v>2</v>
      </c>
      <c r="H1004">
        <v>2397</v>
      </c>
      <c r="I1004">
        <v>4794</v>
      </c>
    </row>
    <row r="1005" spans="1:9" x14ac:dyDescent="0.3">
      <c r="A1005">
        <v>1208</v>
      </c>
      <c r="B1005" t="s">
        <v>642</v>
      </c>
      <c r="C1005" t="s">
        <v>309</v>
      </c>
      <c r="D1005" t="s">
        <v>42</v>
      </c>
      <c r="E1005" t="s">
        <v>36</v>
      </c>
      <c r="F1005" t="s">
        <v>133</v>
      </c>
      <c r="G1005">
        <v>1</v>
      </c>
      <c r="H1005">
        <v>1716</v>
      </c>
      <c r="I1005">
        <v>1716</v>
      </c>
    </row>
    <row r="1006" spans="1:9" x14ac:dyDescent="0.3">
      <c r="A1006">
        <v>1488</v>
      </c>
      <c r="B1006" t="s">
        <v>170</v>
      </c>
      <c r="C1006" t="s">
        <v>150</v>
      </c>
      <c r="D1006" t="s">
        <v>25</v>
      </c>
      <c r="E1006" t="s">
        <v>100</v>
      </c>
      <c r="F1006" t="s">
        <v>114</v>
      </c>
      <c r="G1006">
        <v>2</v>
      </c>
      <c r="H1006">
        <v>1734</v>
      </c>
      <c r="I1006">
        <v>3468</v>
      </c>
    </row>
    <row r="1007" spans="1:9" x14ac:dyDescent="0.3">
      <c r="A1007">
        <v>1013</v>
      </c>
      <c r="B1007" t="s">
        <v>628</v>
      </c>
      <c r="C1007" t="s">
        <v>342</v>
      </c>
      <c r="D1007" t="s">
        <v>11</v>
      </c>
      <c r="E1007" t="s">
        <v>136</v>
      </c>
      <c r="F1007" t="s">
        <v>22</v>
      </c>
      <c r="G1007">
        <v>3</v>
      </c>
      <c r="H1007">
        <v>830</v>
      </c>
      <c r="I1007">
        <v>2490</v>
      </c>
    </row>
    <row r="1008" spans="1:9" x14ac:dyDescent="0.3">
      <c r="A1008">
        <v>1009</v>
      </c>
      <c r="B1008" t="s">
        <v>555</v>
      </c>
      <c r="C1008" t="s">
        <v>167</v>
      </c>
      <c r="D1008" t="s">
        <v>62</v>
      </c>
      <c r="E1008" t="s">
        <v>136</v>
      </c>
      <c r="F1008" t="s">
        <v>67</v>
      </c>
      <c r="G1008">
        <v>2</v>
      </c>
      <c r="H1008">
        <v>4071</v>
      </c>
      <c r="I1008">
        <v>8142</v>
      </c>
    </row>
    <row r="1009" spans="1:9" x14ac:dyDescent="0.3">
      <c r="A1009">
        <v>1580</v>
      </c>
      <c r="B1009" t="s">
        <v>54</v>
      </c>
      <c r="C1009" t="s">
        <v>370</v>
      </c>
      <c r="D1009" t="s">
        <v>11</v>
      </c>
      <c r="E1009" t="s">
        <v>39</v>
      </c>
      <c r="F1009" t="s">
        <v>18</v>
      </c>
      <c r="G1009">
        <v>1</v>
      </c>
      <c r="H1009">
        <v>1019</v>
      </c>
      <c r="I1009">
        <v>1019</v>
      </c>
    </row>
    <row r="1010" spans="1:9" x14ac:dyDescent="0.3">
      <c r="A1010">
        <v>1463</v>
      </c>
      <c r="B1010" t="s">
        <v>629</v>
      </c>
      <c r="C1010" t="s">
        <v>314</v>
      </c>
      <c r="D1010" t="s">
        <v>62</v>
      </c>
      <c r="E1010" t="s">
        <v>36</v>
      </c>
      <c r="F1010" t="s">
        <v>133</v>
      </c>
      <c r="G1010">
        <v>3</v>
      </c>
      <c r="H1010">
        <v>3184</v>
      </c>
      <c r="I1010">
        <v>9552</v>
      </c>
    </row>
    <row r="1011" spans="1:9" x14ac:dyDescent="0.3">
      <c r="A1011">
        <v>1308</v>
      </c>
      <c r="B1011" t="s">
        <v>325</v>
      </c>
      <c r="C1011" t="s">
        <v>265</v>
      </c>
      <c r="D1011" t="s">
        <v>42</v>
      </c>
      <c r="E1011" t="s">
        <v>21</v>
      </c>
      <c r="F1011" t="s">
        <v>124</v>
      </c>
      <c r="G1011">
        <v>2</v>
      </c>
      <c r="H1011">
        <v>3561</v>
      </c>
      <c r="I1011">
        <v>7122</v>
      </c>
    </row>
    <row r="1012" spans="1:9" x14ac:dyDescent="0.3">
      <c r="A1012">
        <v>1145</v>
      </c>
      <c r="B1012" t="s">
        <v>503</v>
      </c>
      <c r="C1012" t="s">
        <v>258</v>
      </c>
      <c r="D1012" t="s">
        <v>35</v>
      </c>
      <c r="E1012" t="s">
        <v>92</v>
      </c>
      <c r="F1012" t="s">
        <v>93</v>
      </c>
      <c r="G1012">
        <v>2</v>
      </c>
      <c r="H1012">
        <v>931</v>
      </c>
      <c r="I1012">
        <v>1862</v>
      </c>
    </row>
    <row r="1013" spans="1:9" x14ac:dyDescent="0.3">
      <c r="A1013">
        <v>1110</v>
      </c>
      <c r="B1013" t="s">
        <v>270</v>
      </c>
      <c r="C1013" t="s">
        <v>324</v>
      </c>
      <c r="D1013" t="s">
        <v>30</v>
      </c>
      <c r="E1013" t="s">
        <v>49</v>
      </c>
      <c r="F1013" t="s">
        <v>67</v>
      </c>
      <c r="G1013">
        <v>3</v>
      </c>
      <c r="H1013">
        <v>2913</v>
      </c>
      <c r="I1013">
        <v>8739</v>
      </c>
    </row>
    <row r="1014" spans="1:9" x14ac:dyDescent="0.3">
      <c r="A1014">
        <v>1282</v>
      </c>
      <c r="B1014" t="s">
        <v>427</v>
      </c>
      <c r="C1014" t="s">
        <v>375</v>
      </c>
      <c r="D1014" t="s">
        <v>25</v>
      </c>
      <c r="E1014" t="s">
        <v>56</v>
      </c>
      <c r="F1014" t="s">
        <v>57</v>
      </c>
      <c r="G1014">
        <v>4</v>
      </c>
      <c r="H1014">
        <v>3927</v>
      </c>
      <c r="I1014">
        <v>15708</v>
      </c>
    </row>
    <row r="1015" spans="1:9" x14ac:dyDescent="0.3">
      <c r="A1015">
        <v>1355</v>
      </c>
      <c r="B1015" t="s">
        <v>347</v>
      </c>
      <c r="C1015" t="s">
        <v>296</v>
      </c>
      <c r="D1015" t="s">
        <v>62</v>
      </c>
      <c r="E1015" t="s">
        <v>31</v>
      </c>
      <c r="F1015" t="s">
        <v>78</v>
      </c>
      <c r="G1015">
        <v>2</v>
      </c>
      <c r="H1015">
        <v>4485</v>
      </c>
      <c r="I1015">
        <v>8970</v>
      </c>
    </row>
    <row r="1016" spans="1:9" x14ac:dyDescent="0.3">
      <c r="A1016">
        <v>1166</v>
      </c>
      <c r="B1016" t="s">
        <v>529</v>
      </c>
      <c r="C1016" t="s">
        <v>144</v>
      </c>
      <c r="D1016" t="s">
        <v>42</v>
      </c>
      <c r="E1016" t="s">
        <v>36</v>
      </c>
      <c r="F1016" t="s">
        <v>27</v>
      </c>
      <c r="G1016">
        <v>4</v>
      </c>
      <c r="H1016">
        <v>535</v>
      </c>
      <c r="I1016">
        <v>2140</v>
      </c>
    </row>
    <row r="1017" spans="1:9" x14ac:dyDescent="0.3">
      <c r="A1017">
        <v>1126</v>
      </c>
      <c r="B1017" t="s">
        <v>492</v>
      </c>
      <c r="C1017" t="s">
        <v>169</v>
      </c>
      <c r="D1017" t="s">
        <v>35</v>
      </c>
      <c r="E1017" t="s">
        <v>26</v>
      </c>
      <c r="F1017" t="s">
        <v>27</v>
      </c>
      <c r="G1017">
        <v>1</v>
      </c>
      <c r="H1017">
        <v>608</v>
      </c>
      <c r="I1017">
        <v>608</v>
      </c>
    </row>
    <row r="1018" spans="1:9" x14ac:dyDescent="0.3">
      <c r="A1018">
        <v>1290</v>
      </c>
      <c r="B1018" t="s">
        <v>369</v>
      </c>
      <c r="C1018" t="s">
        <v>103</v>
      </c>
      <c r="D1018" t="s">
        <v>11</v>
      </c>
      <c r="E1018" t="s">
        <v>100</v>
      </c>
      <c r="F1018" t="s">
        <v>72</v>
      </c>
      <c r="G1018">
        <v>2</v>
      </c>
      <c r="H1018">
        <v>3739</v>
      </c>
      <c r="I1018">
        <v>7478</v>
      </c>
    </row>
    <row r="1019" spans="1:9" x14ac:dyDescent="0.3">
      <c r="A1019">
        <v>1224</v>
      </c>
      <c r="B1019" t="s">
        <v>367</v>
      </c>
      <c r="C1019" t="s">
        <v>342</v>
      </c>
      <c r="D1019" t="s">
        <v>52</v>
      </c>
      <c r="E1019" t="s">
        <v>26</v>
      </c>
      <c r="F1019" t="s">
        <v>13</v>
      </c>
      <c r="G1019">
        <v>4</v>
      </c>
      <c r="H1019">
        <v>1003</v>
      </c>
      <c r="I1019">
        <v>4012</v>
      </c>
    </row>
    <row r="1020" spans="1:9" x14ac:dyDescent="0.3">
      <c r="A1020">
        <v>1318</v>
      </c>
      <c r="B1020" t="s">
        <v>626</v>
      </c>
      <c r="C1020" t="s">
        <v>222</v>
      </c>
      <c r="D1020" t="s">
        <v>16</v>
      </c>
      <c r="E1020" t="s">
        <v>49</v>
      </c>
      <c r="F1020" t="s">
        <v>22</v>
      </c>
      <c r="G1020">
        <v>3</v>
      </c>
      <c r="H1020">
        <v>1311</v>
      </c>
      <c r="I1020">
        <v>3933</v>
      </c>
    </row>
    <row r="1021" spans="1:9" x14ac:dyDescent="0.3">
      <c r="A1021">
        <v>1312</v>
      </c>
      <c r="B1021" t="s">
        <v>649</v>
      </c>
      <c r="C1021" t="s">
        <v>532</v>
      </c>
      <c r="D1021" t="s">
        <v>52</v>
      </c>
      <c r="E1021" t="s">
        <v>49</v>
      </c>
      <c r="F1021" t="s">
        <v>67</v>
      </c>
      <c r="G1021">
        <v>4</v>
      </c>
      <c r="H1021">
        <v>986</v>
      </c>
      <c r="I1021">
        <v>3944</v>
      </c>
    </row>
    <row r="1022" spans="1:9" x14ac:dyDescent="0.3">
      <c r="A1022">
        <v>1320</v>
      </c>
      <c r="B1022" t="s">
        <v>369</v>
      </c>
      <c r="C1022" t="s">
        <v>484</v>
      </c>
      <c r="D1022" t="s">
        <v>52</v>
      </c>
      <c r="E1022" t="s">
        <v>36</v>
      </c>
      <c r="F1022" t="s">
        <v>75</v>
      </c>
      <c r="G1022">
        <v>4</v>
      </c>
      <c r="H1022">
        <v>3644</v>
      </c>
      <c r="I1022">
        <v>14576</v>
      </c>
    </row>
    <row r="1023" spans="1:9" x14ac:dyDescent="0.3">
      <c r="A1023">
        <v>1572</v>
      </c>
      <c r="B1023" t="s">
        <v>313</v>
      </c>
      <c r="C1023" t="s">
        <v>583</v>
      </c>
      <c r="D1023" t="s">
        <v>30</v>
      </c>
      <c r="E1023" t="s">
        <v>49</v>
      </c>
      <c r="F1023" t="s">
        <v>124</v>
      </c>
      <c r="G1023">
        <v>2</v>
      </c>
      <c r="H1023">
        <v>4954</v>
      </c>
      <c r="I1023">
        <v>9908</v>
      </c>
    </row>
    <row r="1024" spans="1:9" x14ac:dyDescent="0.3">
      <c r="A1024">
        <v>1556</v>
      </c>
      <c r="B1024" t="s">
        <v>235</v>
      </c>
      <c r="C1024" t="s">
        <v>324</v>
      </c>
      <c r="D1024" t="s">
        <v>11</v>
      </c>
      <c r="E1024" t="s">
        <v>26</v>
      </c>
      <c r="F1024" t="s">
        <v>27</v>
      </c>
      <c r="G1024">
        <v>4</v>
      </c>
      <c r="H1024">
        <v>248</v>
      </c>
      <c r="I1024">
        <v>992</v>
      </c>
    </row>
    <row r="1025" spans="1:9" x14ac:dyDescent="0.3">
      <c r="A1025">
        <v>1530</v>
      </c>
      <c r="B1025" t="s">
        <v>525</v>
      </c>
      <c r="C1025" t="s">
        <v>463</v>
      </c>
      <c r="D1025" t="s">
        <v>30</v>
      </c>
      <c r="E1025" t="s">
        <v>83</v>
      </c>
      <c r="F1025" t="s">
        <v>32</v>
      </c>
      <c r="G1025">
        <v>1</v>
      </c>
      <c r="H1025">
        <v>2931</v>
      </c>
      <c r="I1025">
        <v>2931</v>
      </c>
    </row>
    <row r="1026" spans="1:9" x14ac:dyDescent="0.3">
      <c r="A1026">
        <v>1579</v>
      </c>
      <c r="B1026" t="s">
        <v>524</v>
      </c>
      <c r="C1026" t="s">
        <v>185</v>
      </c>
      <c r="D1026" t="s">
        <v>42</v>
      </c>
      <c r="E1026" t="s">
        <v>89</v>
      </c>
      <c r="F1026" t="s">
        <v>27</v>
      </c>
      <c r="G1026">
        <v>2</v>
      </c>
      <c r="H1026">
        <v>4429</v>
      </c>
      <c r="I1026">
        <v>8858</v>
      </c>
    </row>
    <row r="1027" spans="1:9" x14ac:dyDescent="0.3">
      <c r="A1027">
        <v>1507</v>
      </c>
      <c r="B1027" t="s">
        <v>543</v>
      </c>
      <c r="C1027" t="s">
        <v>326</v>
      </c>
      <c r="E1027" t="s">
        <v>100</v>
      </c>
      <c r="F1027" t="s">
        <v>101</v>
      </c>
      <c r="G1027">
        <v>4</v>
      </c>
      <c r="H1027">
        <v>1844</v>
      </c>
      <c r="I1027">
        <v>7376</v>
      </c>
    </row>
    <row r="1028" spans="1:9" x14ac:dyDescent="0.3">
      <c r="A1028">
        <v>1123</v>
      </c>
      <c r="B1028" t="s">
        <v>143</v>
      </c>
      <c r="C1028" t="s">
        <v>77</v>
      </c>
      <c r="D1028" t="s">
        <v>62</v>
      </c>
      <c r="E1028" t="s">
        <v>17</v>
      </c>
      <c r="F1028" t="s">
        <v>114</v>
      </c>
      <c r="G1028">
        <v>1</v>
      </c>
      <c r="H1028">
        <v>4343</v>
      </c>
      <c r="I1028">
        <v>4343</v>
      </c>
    </row>
    <row r="1029" spans="1:9" x14ac:dyDescent="0.3">
      <c r="A1029">
        <v>1124</v>
      </c>
      <c r="B1029" t="s">
        <v>373</v>
      </c>
      <c r="C1029" t="s">
        <v>80</v>
      </c>
      <c r="D1029" t="s">
        <v>30</v>
      </c>
      <c r="E1029" t="s">
        <v>49</v>
      </c>
      <c r="F1029" t="s">
        <v>128</v>
      </c>
      <c r="G1029">
        <v>5</v>
      </c>
      <c r="H1029">
        <v>3797</v>
      </c>
      <c r="I1029">
        <v>18985</v>
      </c>
    </row>
    <row r="1030" spans="1:9" x14ac:dyDescent="0.3">
      <c r="A1030">
        <v>1442</v>
      </c>
      <c r="B1030" t="s">
        <v>602</v>
      </c>
      <c r="C1030" t="s">
        <v>38</v>
      </c>
      <c r="D1030" t="s">
        <v>16</v>
      </c>
      <c r="E1030" t="s">
        <v>31</v>
      </c>
      <c r="F1030" t="s">
        <v>93</v>
      </c>
      <c r="G1030">
        <v>2</v>
      </c>
      <c r="H1030">
        <v>4390</v>
      </c>
      <c r="I1030">
        <v>8780</v>
      </c>
    </row>
    <row r="1031" spans="1:9" x14ac:dyDescent="0.3">
      <c r="A1031">
        <v>1487</v>
      </c>
      <c r="B1031" t="s">
        <v>178</v>
      </c>
      <c r="C1031" t="s">
        <v>370</v>
      </c>
      <c r="D1031" t="s">
        <v>35</v>
      </c>
      <c r="E1031" t="s">
        <v>26</v>
      </c>
      <c r="F1031" t="s">
        <v>27</v>
      </c>
      <c r="G1031">
        <v>3</v>
      </c>
      <c r="H1031">
        <v>3404</v>
      </c>
      <c r="I1031">
        <v>10212</v>
      </c>
    </row>
    <row r="1032" spans="1:9" x14ac:dyDescent="0.3">
      <c r="A1032">
        <v>1475</v>
      </c>
      <c r="B1032" t="s">
        <v>577</v>
      </c>
      <c r="C1032" t="s">
        <v>142</v>
      </c>
      <c r="E1032" t="s">
        <v>136</v>
      </c>
      <c r="F1032" t="s">
        <v>128</v>
      </c>
      <c r="G1032">
        <v>4</v>
      </c>
      <c r="H1032">
        <v>1184</v>
      </c>
      <c r="I1032">
        <v>4736</v>
      </c>
    </row>
    <row r="1033" spans="1:9" x14ac:dyDescent="0.3">
      <c r="A1033">
        <v>1310</v>
      </c>
      <c r="B1033" t="s">
        <v>310</v>
      </c>
      <c r="C1033" t="s">
        <v>273</v>
      </c>
      <c r="D1033" t="s">
        <v>11</v>
      </c>
      <c r="E1033" t="s">
        <v>21</v>
      </c>
      <c r="F1033" t="s">
        <v>124</v>
      </c>
      <c r="G1033">
        <v>4</v>
      </c>
      <c r="H1033">
        <v>3954</v>
      </c>
      <c r="I1033">
        <v>15816</v>
      </c>
    </row>
    <row r="1034" spans="1:9" x14ac:dyDescent="0.3">
      <c r="A1034">
        <v>1366</v>
      </c>
      <c r="B1034" t="s">
        <v>58</v>
      </c>
      <c r="C1034" t="s">
        <v>238</v>
      </c>
      <c r="D1034" t="s">
        <v>25</v>
      </c>
      <c r="E1034" t="s">
        <v>140</v>
      </c>
      <c r="F1034" t="s">
        <v>101</v>
      </c>
      <c r="G1034">
        <v>2</v>
      </c>
      <c r="H1034">
        <v>1440</v>
      </c>
      <c r="I1034">
        <v>2880</v>
      </c>
    </row>
    <row r="1035" spans="1:9" x14ac:dyDescent="0.3">
      <c r="A1035">
        <v>1347</v>
      </c>
      <c r="B1035" t="s">
        <v>525</v>
      </c>
      <c r="C1035" t="s">
        <v>308</v>
      </c>
      <c r="D1035" t="s">
        <v>52</v>
      </c>
      <c r="E1035" t="s">
        <v>100</v>
      </c>
      <c r="F1035" t="s">
        <v>101</v>
      </c>
      <c r="G1035">
        <v>1</v>
      </c>
      <c r="H1035">
        <v>4162</v>
      </c>
      <c r="I1035">
        <v>4162</v>
      </c>
    </row>
    <row r="1036" spans="1:9" x14ac:dyDescent="0.3">
      <c r="A1036">
        <v>1184</v>
      </c>
      <c r="B1036" t="s">
        <v>520</v>
      </c>
      <c r="C1036" t="s">
        <v>381</v>
      </c>
      <c r="D1036" t="s">
        <v>35</v>
      </c>
      <c r="E1036" t="s">
        <v>36</v>
      </c>
      <c r="F1036" t="s">
        <v>13</v>
      </c>
      <c r="G1036">
        <v>5</v>
      </c>
      <c r="H1036">
        <v>3507</v>
      </c>
      <c r="I1036">
        <v>17535</v>
      </c>
    </row>
    <row r="1037" spans="1:9" x14ac:dyDescent="0.3">
      <c r="A1037">
        <v>1162</v>
      </c>
      <c r="B1037" t="s">
        <v>552</v>
      </c>
      <c r="C1037" t="s">
        <v>77</v>
      </c>
      <c r="D1037" t="s">
        <v>35</v>
      </c>
      <c r="E1037" t="s">
        <v>92</v>
      </c>
      <c r="F1037" t="s">
        <v>78</v>
      </c>
      <c r="G1037">
        <v>2</v>
      </c>
      <c r="H1037">
        <v>2138</v>
      </c>
      <c r="I1037">
        <v>4276</v>
      </c>
    </row>
    <row r="1038" spans="1:9" x14ac:dyDescent="0.3">
      <c r="A1038">
        <v>1393</v>
      </c>
      <c r="B1038" t="s">
        <v>127</v>
      </c>
      <c r="C1038" t="s">
        <v>426</v>
      </c>
      <c r="D1038" t="s">
        <v>25</v>
      </c>
      <c r="E1038" t="s">
        <v>56</v>
      </c>
      <c r="F1038" t="s">
        <v>32</v>
      </c>
      <c r="G1038">
        <v>1</v>
      </c>
      <c r="H1038">
        <v>797</v>
      </c>
      <c r="I1038">
        <v>797</v>
      </c>
    </row>
    <row r="1039" spans="1:9" x14ac:dyDescent="0.3">
      <c r="A1039">
        <v>1030</v>
      </c>
      <c r="B1039" t="s">
        <v>441</v>
      </c>
      <c r="C1039" t="s">
        <v>239</v>
      </c>
      <c r="D1039" t="s">
        <v>11</v>
      </c>
      <c r="E1039" t="s">
        <v>92</v>
      </c>
      <c r="F1039" t="s">
        <v>78</v>
      </c>
      <c r="G1039">
        <v>5</v>
      </c>
      <c r="H1039">
        <v>4758</v>
      </c>
      <c r="I1039">
        <v>23790</v>
      </c>
    </row>
    <row r="1040" spans="1:9" x14ac:dyDescent="0.3">
      <c r="A1040">
        <v>1448</v>
      </c>
      <c r="B1040" t="s">
        <v>223</v>
      </c>
      <c r="C1040" t="s">
        <v>87</v>
      </c>
      <c r="D1040" t="s">
        <v>52</v>
      </c>
      <c r="E1040" t="s">
        <v>39</v>
      </c>
      <c r="F1040" t="s">
        <v>114</v>
      </c>
      <c r="G1040">
        <v>5</v>
      </c>
      <c r="H1040">
        <v>1775</v>
      </c>
      <c r="I1040">
        <v>8875</v>
      </c>
    </row>
    <row r="1041" spans="1:9" x14ac:dyDescent="0.3">
      <c r="A1041">
        <v>1098</v>
      </c>
      <c r="B1041" t="s">
        <v>374</v>
      </c>
      <c r="C1041" t="s">
        <v>598</v>
      </c>
      <c r="D1041" t="s">
        <v>52</v>
      </c>
      <c r="E1041" t="s">
        <v>100</v>
      </c>
      <c r="F1041" t="s">
        <v>72</v>
      </c>
      <c r="G1041">
        <v>5</v>
      </c>
      <c r="H1041">
        <v>4677</v>
      </c>
      <c r="I1041">
        <v>23385</v>
      </c>
    </row>
    <row r="1042" spans="1:9" x14ac:dyDescent="0.3">
      <c r="A1042">
        <v>1540</v>
      </c>
      <c r="B1042" t="s">
        <v>578</v>
      </c>
      <c r="C1042" t="s">
        <v>375</v>
      </c>
      <c r="D1042" t="s">
        <v>35</v>
      </c>
      <c r="E1042" t="s">
        <v>140</v>
      </c>
      <c r="F1042" t="s">
        <v>18</v>
      </c>
      <c r="G1042">
        <v>3</v>
      </c>
      <c r="H1042">
        <v>4776</v>
      </c>
      <c r="I1042">
        <v>14328</v>
      </c>
    </row>
    <row r="1043" spans="1:9" x14ac:dyDescent="0.3">
      <c r="A1043">
        <v>1449</v>
      </c>
      <c r="B1043" t="s">
        <v>556</v>
      </c>
      <c r="C1043" t="s">
        <v>51</v>
      </c>
      <c r="D1043" t="s">
        <v>11</v>
      </c>
      <c r="E1043" t="s">
        <v>136</v>
      </c>
      <c r="F1043" t="s">
        <v>124</v>
      </c>
      <c r="G1043">
        <v>5</v>
      </c>
      <c r="H1043">
        <v>2643</v>
      </c>
      <c r="I1043">
        <v>13215</v>
      </c>
    </row>
    <row r="1044" spans="1:9" x14ac:dyDescent="0.3">
      <c r="A1044">
        <v>1052</v>
      </c>
      <c r="B1044" t="s">
        <v>513</v>
      </c>
      <c r="C1044" t="s">
        <v>550</v>
      </c>
      <c r="D1044" t="s">
        <v>30</v>
      </c>
      <c r="E1044" t="s">
        <v>12</v>
      </c>
      <c r="F1044" t="s">
        <v>27</v>
      </c>
      <c r="G1044">
        <v>3</v>
      </c>
      <c r="H1044">
        <v>3398</v>
      </c>
      <c r="I1044">
        <v>10194</v>
      </c>
    </row>
    <row r="1045" spans="1:9" x14ac:dyDescent="0.3">
      <c r="A1045">
        <v>1161</v>
      </c>
      <c r="B1045" t="s">
        <v>347</v>
      </c>
      <c r="C1045" t="s">
        <v>623</v>
      </c>
      <c r="D1045" t="s">
        <v>52</v>
      </c>
      <c r="E1045" t="s">
        <v>100</v>
      </c>
      <c r="F1045" t="s">
        <v>18</v>
      </c>
      <c r="G1045">
        <v>5</v>
      </c>
      <c r="H1045">
        <v>664</v>
      </c>
      <c r="I1045">
        <v>3320</v>
      </c>
    </row>
    <row r="1046" spans="1:9" x14ac:dyDescent="0.3">
      <c r="A1046">
        <v>1596</v>
      </c>
      <c r="B1046" t="s">
        <v>605</v>
      </c>
      <c r="C1046" t="s">
        <v>484</v>
      </c>
      <c r="D1046" t="s">
        <v>35</v>
      </c>
      <c r="E1046" t="s">
        <v>89</v>
      </c>
      <c r="F1046" t="s">
        <v>27</v>
      </c>
      <c r="G1046">
        <v>4</v>
      </c>
      <c r="H1046">
        <v>2337</v>
      </c>
      <c r="I1046">
        <v>9348</v>
      </c>
    </row>
    <row r="1047" spans="1:9" x14ac:dyDescent="0.3">
      <c r="A1047">
        <v>1060</v>
      </c>
      <c r="B1047" t="s">
        <v>622</v>
      </c>
      <c r="C1047" t="s">
        <v>236</v>
      </c>
      <c r="D1047" t="s">
        <v>62</v>
      </c>
      <c r="E1047" t="s">
        <v>12</v>
      </c>
      <c r="F1047" t="s">
        <v>27</v>
      </c>
      <c r="G1047">
        <v>1</v>
      </c>
      <c r="H1047">
        <v>4819</v>
      </c>
      <c r="I1047">
        <v>4819</v>
      </c>
    </row>
    <row r="1048" spans="1:9" x14ac:dyDescent="0.3">
      <c r="A1048">
        <v>1036</v>
      </c>
      <c r="B1048" t="s">
        <v>642</v>
      </c>
      <c r="C1048" t="s">
        <v>397</v>
      </c>
      <c r="D1048" t="s">
        <v>62</v>
      </c>
      <c r="E1048" t="s">
        <v>136</v>
      </c>
      <c r="F1048" t="s">
        <v>67</v>
      </c>
      <c r="G1048">
        <v>2</v>
      </c>
      <c r="H1048">
        <v>2416</v>
      </c>
      <c r="I1048">
        <v>4832</v>
      </c>
    </row>
    <row r="1049" spans="1:9" x14ac:dyDescent="0.3">
      <c r="A1049">
        <v>1508</v>
      </c>
      <c r="B1049" t="s">
        <v>205</v>
      </c>
      <c r="C1049" t="s">
        <v>326</v>
      </c>
      <c r="D1049" t="s">
        <v>30</v>
      </c>
      <c r="E1049" t="s">
        <v>26</v>
      </c>
      <c r="F1049" t="s">
        <v>75</v>
      </c>
      <c r="G1049">
        <v>2</v>
      </c>
      <c r="H1049">
        <v>375</v>
      </c>
      <c r="I1049">
        <v>750</v>
      </c>
    </row>
    <row r="1050" spans="1:9" x14ac:dyDescent="0.3">
      <c r="A1050">
        <v>1200</v>
      </c>
      <c r="B1050" t="s">
        <v>376</v>
      </c>
      <c r="C1050" t="s">
        <v>201</v>
      </c>
      <c r="D1050" t="s">
        <v>42</v>
      </c>
      <c r="E1050" t="s">
        <v>45</v>
      </c>
      <c r="F1050" t="s">
        <v>124</v>
      </c>
      <c r="G1050">
        <v>4</v>
      </c>
      <c r="H1050">
        <v>3290</v>
      </c>
      <c r="I1050">
        <v>13160</v>
      </c>
    </row>
    <row r="1051" spans="1:9" x14ac:dyDescent="0.3">
      <c r="A1051">
        <v>1437</v>
      </c>
      <c r="B1051" t="s">
        <v>379</v>
      </c>
      <c r="C1051" t="s">
        <v>146</v>
      </c>
      <c r="D1051" t="s">
        <v>35</v>
      </c>
      <c r="E1051" t="s">
        <v>83</v>
      </c>
      <c r="F1051" t="s">
        <v>78</v>
      </c>
      <c r="G1051">
        <v>3</v>
      </c>
      <c r="H1051">
        <v>1786</v>
      </c>
      <c r="I1051">
        <v>5358</v>
      </c>
    </row>
    <row r="1052" spans="1:9" x14ac:dyDescent="0.3">
      <c r="A1052">
        <v>1243</v>
      </c>
      <c r="B1052" t="s">
        <v>552</v>
      </c>
      <c r="C1052" t="s">
        <v>247</v>
      </c>
      <c r="D1052" t="s">
        <v>42</v>
      </c>
      <c r="E1052" t="s">
        <v>92</v>
      </c>
      <c r="F1052" t="s">
        <v>93</v>
      </c>
      <c r="G1052">
        <v>1</v>
      </c>
      <c r="H1052">
        <v>2247</v>
      </c>
      <c r="I1052">
        <v>2247</v>
      </c>
    </row>
    <row r="1053" spans="1:9" x14ac:dyDescent="0.3">
      <c r="A1053">
        <v>1129</v>
      </c>
      <c r="B1053" t="s">
        <v>190</v>
      </c>
      <c r="C1053" t="s">
        <v>586</v>
      </c>
      <c r="D1053" t="s">
        <v>35</v>
      </c>
      <c r="E1053" t="s">
        <v>36</v>
      </c>
      <c r="F1053" t="s">
        <v>27</v>
      </c>
      <c r="G1053">
        <v>5</v>
      </c>
      <c r="H1053">
        <v>2200</v>
      </c>
      <c r="I1053">
        <v>11000</v>
      </c>
    </row>
    <row r="1054" spans="1:9" x14ac:dyDescent="0.3">
      <c r="A1054">
        <v>1407</v>
      </c>
      <c r="B1054" t="s">
        <v>178</v>
      </c>
      <c r="C1054" t="s">
        <v>66</v>
      </c>
      <c r="D1054" t="s">
        <v>30</v>
      </c>
      <c r="E1054" t="s">
        <v>83</v>
      </c>
      <c r="F1054" t="s">
        <v>32</v>
      </c>
      <c r="G1054">
        <v>5</v>
      </c>
      <c r="H1054">
        <v>1886</v>
      </c>
      <c r="I1054">
        <v>9430</v>
      </c>
    </row>
    <row r="1055" spans="1:9" x14ac:dyDescent="0.3">
      <c r="A1055">
        <v>1365</v>
      </c>
      <c r="B1055" t="s">
        <v>40</v>
      </c>
      <c r="C1055" t="s">
        <v>199</v>
      </c>
      <c r="D1055" t="s">
        <v>16</v>
      </c>
      <c r="E1055" t="s">
        <v>36</v>
      </c>
      <c r="F1055" t="s">
        <v>95</v>
      </c>
      <c r="G1055">
        <v>5</v>
      </c>
      <c r="H1055">
        <v>2391</v>
      </c>
      <c r="I1055">
        <v>11955</v>
      </c>
    </row>
    <row r="1056" spans="1:9" x14ac:dyDescent="0.3">
      <c r="A1056">
        <v>1106</v>
      </c>
      <c r="B1056" t="s">
        <v>492</v>
      </c>
      <c r="C1056" t="s">
        <v>452</v>
      </c>
      <c r="D1056" t="s">
        <v>30</v>
      </c>
      <c r="E1056" t="s">
        <v>45</v>
      </c>
      <c r="F1056" t="s">
        <v>67</v>
      </c>
      <c r="G1056">
        <v>1</v>
      </c>
      <c r="H1056">
        <v>1867</v>
      </c>
      <c r="I1056">
        <v>1867</v>
      </c>
    </row>
    <row r="1057" spans="1:9" x14ac:dyDescent="0.3">
      <c r="A1057">
        <v>1533</v>
      </c>
      <c r="B1057" t="s">
        <v>552</v>
      </c>
      <c r="C1057" t="s">
        <v>118</v>
      </c>
      <c r="D1057" t="s">
        <v>11</v>
      </c>
      <c r="E1057" t="s">
        <v>100</v>
      </c>
      <c r="F1057" t="s">
        <v>72</v>
      </c>
      <c r="G1057">
        <v>1</v>
      </c>
      <c r="H1057">
        <v>2125</v>
      </c>
      <c r="I1057">
        <v>2125</v>
      </c>
    </row>
    <row r="1058" spans="1:9" x14ac:dyDescent="0.3">
      <c r="A1058">
        <v>1464</v>
      </c>
      <c r="B1058" t="s">
        <v>560</v>
      </c>
      <c r="C1058" t="s">
        <v>584</v>
      </c>
      <c r="D1058" t="s">
        <v>30</v>
      </c>
      <c r="E1058" t="s">
        <v>21</v>
      </c>
      <c r="F1058" t="s">
        <v>124</v>
      </c>
      <c r="G1058">
        <v>5</v>
      </c>
      <c r="H1058">
        <v>3347</v>
      </c>
      <c r="I1058">
        <v>16735</v>
      </c>
    </row>
    <row r="1059" spans="1:9" x14ac:dyDescent="0.3">
      <c r="A1059">
        <v>1061</v>
      </c>
      <c r="B1059" t="s">
        <v>165</v>
      </c>
      <c r="C1059" t="s">
        <v>150</v>
      </c>
      <c r="D1059" t="s">
        <v>52</v>
      </c>
      <c r="E1059" t="s">
        <v>136</v>
      </c>
      <c r="F1059" t="s">
        <v>46</v>
      </c>
      <c r="G1059">
        <v>4</v>
      </c>
      <c r="H1059">
        <v>3837</v>
      </c>
      <c r="I1059">
        <v>15348</v>
      </c>
    </row>
    <row r="1060" spans="1:9" x14ac:dyDescent="0.3">
      <c r="A1060">
        <v>1188</v>
      </c>
      <c r="B1060" t="s">
        <v>131</v>
      </c>
      <c r="C1060" t="s">
        <v>444</v>
      </c>
      <c r="D1060" t="s">
        <v>35</v>
      </c>
      <c r="E1060" t="s">
        <v>83</v>
      </c>
      <c r="F1060" t="s">
        <v>112</v>
      </c>
      <c r="G1060">
        <v>1</v>
      </c>
      <c r="H1060">
        <v>2954</v>
      </c>
      <c r="I1060">
        <v>2954</v>
      </c>
    </row>
    <row r="1061" spans="1:9" x14ac:dyDescent="0.3">
      <c r="A1061">
        <v>1221</v>
      </c>
      <c r="B1061" t="s">
        <v>601</v>
      </c>
      <c r="C1061" t="s">
        <v>162</v>
      </c>
      <c r="D1061" t="s">
        <v>25</v>
      </c>
      <c r="E1061" t="s">
        <v>136</v>
      </c>
      <c r="F1061" t="s">
        <v>46</v>
      </c>
      <c r="G1061">
        <v>5</v>
      </c>
      <c r="H1061">
        <v>3379</v>
      </c>
      <c r="I1061">
        <v>16895</v>
      </c>
    </row>
    <row r="1062" spans="1:9" x14ac:dyDescent="0.3">
      <c r="A1062">
        <v>1294</v>
      </c>
      <c r="B1062" t="s">
        <v>376</v>
      </c>
      <c r="C1062" t="s">
        <v>301</v>
      </c>
      <c r="D1062" t="s">
        <v>11</v>
      </c>
      <c r="E1062" t="s">
        <v>21</v>
      </c>
      <c r="F1062" t="s">
        <v>67</v>
      </c>
      <c r="G1062">
        <v>4</v>
      </c>
      <c r="H1062">
        <v>4028</v>
      </c>
      <c r="I1062">
        <v>16112</v>
      </c>
    </row>
    <row r="1063" spans="1:9" x14ac:dyDescent="0.3">
      <c r="A1063">
        <v>1135</v>
      </c>
      <c r="B1063" t="s">
        <v>471</v>
      </c>
      <c r="C1063" t="s">
        <v>436</v>
      </c>
      <c r="D1063" t="s">
        <v>30</v>
      </c>
      <c r="E1063" t="s">
        <v>12</v>
      </c>
      <c r="F1063" t="s">
        <v>27</v>
      </c>
      <c r="G1063">
        <v>3</v>
      </c>
      <c r="H1063">
        <v>4878</v>
      </c>
      <c r="I1063">
        <v>14634</v>
      </c>
    </row>
    <row r="1064" spans="1:9" x14ac:dyDescent="0.3">
      <c r="A1064">
        <v>1370</v>
      </c>
      <c r="B1064" t="s">
        <v>569</v>
      </c>
      <c r="C1064" t="s">
        <v>66</v>
      </c>
      <c r="D1064" t="s">
        <v>25</v>
      </c>
      <c r="E1064" t="s">
        <v>89</v>
      </c>
      <c r="F1064" t="s">
        <v>133</v>
      </c>
      <c r="G1064">
        <v>3</v>
      </c>
      <c r="H1064">
        <v>4856</v>
      </c>
      <c r="I1064">
        <v>14568</v>
      </c>
    </row>
    <row r="1065" spans="1:9" x14ac:dyDescent="0.3">
      <c r="A1065">
        <v>1183</v>
      </c>
      <c r="B1065" t="s">
        <v>217</v>
      </c>
      <c r="C1065" t="s">
        <v>301</v>
      </c>
      <c r="D1065" t="s">
        <v>62</v>
      </c>
      <c r="E1065" t="s">
        <v>83</v>
      </c>
      <c r="F1065" t="s">
        <v>78</v>
      </c>
      <c r="G1065">
        <v>1</v>
      </c>
      <c r="H1065">
        <v>3138</v>
      </c>
      <c r="I1065">
        <v>3138</v>
      </c>
    </row>
    <row r="1066" spans="1:9" x14ac:dyDescent="0.3">
      <c r="A1066">
        <v>1223</v>
      </c>
      <c r="B1066" t="s">
        <v>630</v>
      </c>
      <c r="C1066" t="s">
        <v>64</v>
      </c>
      <c r="D1066" t="s">
        <v>25</v>
      </c>
      <c r="E1066" t="s">
        <v>56</v>
      </c>
      <c r="F1066" t="s">
        <v>112</v>
      </c>
      <c r="G1066">
        <v>4</v>
      </c>
      <c r="H1066">
        <v>1672</v>
      </c>
      <c r="I1066">
        <v>6688</v>
      </c>
    </row>
    <row r="1067" spans="1:9" x14ac:dyDescent="0.3">
      <c r="A1067">
        <v>1265</v>
      </c>
      <c r="B1067" t="s">
        <v>334</v>
      </c>
      <c r="C1067" t="s">
        <v>311</v>
      </c>
      <c r="D1067" t="s">
        <v>42</v>
      </c>
      <c r="E1067" t="s">
        <v>39</v>
      </c>
      <c r="F1067" t="s">
        <v>114</v>
      </c>
      <c r="G1067">
        <v>2</v>
      </c>
      <c r="H1067">
        <v>1137</v>
      </c>
      <c r="I1067">
        <v>2274</v>
      </c>
    </row>
    <row r="1068" spans="1:9" x14ac:dyDescent="0.3">
      <c r="A1068">
        <v>1518</v>
      </c>
      <c r="B1068" t="s">
        <v>411</v>
      </c>
      <c r="C1068" t="s">
        <v>159</v>
      </c>
      <c r="D1068" t="s">
        <v>42</v>
      </c>
      <c r="E1068" t="s">
        <v>12</v>
      </c>
      <c r="G1068">
        <v>3</v>
      </c>
      <c r="H1068">
        <v>2308</v>
      </c>
      <c r="I1068">
        <v>6924</v>
      </c>
    </row>
    <row r="1069" spans="1:9" x14ac:dyDescent="0.3">
      <c r="A1069">
        <v>1361</v>
      </c>
      <c r="B1069" t="s">
        <v>506</v>
      </c>
      <c r="C1069" t="s">
        <v>308</v>
      </c>
      <c r="D1069" t="s">
        <v>35</v>
      </c>
      <c r="E1069" t="s">
        <v>31</v>
      </c>
      <c r="F1069" t="s">
        <v>57</v>
      </c>
      <c r="G1069">
        <v>1</v>
      </c>
      <c r="H1069">
        <v>834</v>
      </c>
      <c r="I1069">
        <v>834</v>
      </c>
    </row>
    <row r="1070" spans="1:9" x14ac:dyDescent="0.3">
      <c r="A1070">
        <v>1079</v>
      </c>
      <c r="B1070" t="s">
        <v>451</v>
      </c>
      <c r="C1070" t="s">
        <v>236</v>
      </c>
      <c r="D1070" t="s">
        <v>52</v>
      </c>
      <c r="E1070" t="s">
        <v>36</v>
      </c>
      <c r="F1070" t="s">
        <v>133</v>
      </c>
      <c r="G1070">
        <v>1</v>
      </c>
      <c r="H1070">
        <v>3693</v>
      </c>
      <c r="I1070">
        <v>3693</v>
      </c>
    </row>
    <row r="1071" spans="1:9" x14ac:dyDescent="0.3">
      <c r="A1071">
        <v>1334</v>
      </c>
      <c r="B1071" t="s">
        <v>129</v>
      </c>
      <c r="C1071" t="s">
        <v>187</v>
      </c>
      <c r="D1071" t="s">
        <v>35</v>
      </c>
      <c r="E1071" t="s">
        <v>26</v>
      </c>
      <c r="F1071" t="s">
        <v>95</v>
      </c>
      <c r="G1071">
        <v>4</v>
      </c>
      <c r="H1071">
        <v>2608</v>
      </c>
      <c r="I1071">
        <v>10432</v>
      </c>
    </row>
    <row r="1072" spans="1:9" x14ac:dyDescent="0.3">
      <c r="A1072">
        <v>1045</v>
      </c>
      <c r="B1072" t="s">
        <v>261</v>
      </c>
      <c r="C1072" t="s">
        <v>645</v>
      </c>
      <c r="D1072" t="s">
        <v>25</v>
      </c>
      <c r="E1072" t="s">
        <v>17</v>
      </c>
      <c r="F1072" t="s">
        <v>18</v>
      </c>
      <c r="G1072">
        <v>5</v>
      </c>
      <c r="H1072">
        <v>1932</v>
      </c>
      <c r="I1072">
        <v>9660</v>
      </c>
    </row>
    <row r="1073" spans="1:9" x14ac:dyDescent="0.3">
      <c r="A1073">
        <v>1520</v>
      </c>
      <c r="B1073" t="s">
        <v>650</v>
      </c>
      <c r="C1073" t="s">
        <v>289</v>
      </c>
      <c r="D1073" t="s">
        <v>42</v>
      </c>
      <c r="E1073" t="s">
        <v>26</v>
      </c>
      <c r="F1073" t="s">
        <v>13</v>
      </c>
      <c r="G1073">
        <v>2</v>
      </c>
      <c r="H1073">
        <v>3321</v>
      </c>
      <c r="I1073">
        <v>6642</v>
      </c>
    </row>
    <row r="1074" spans="1:9" x14ac:dyDescent="0.3">
      <c r="A1074">
        <v>1079</v>
      </c>
      <c r="B1074" t="s">
        <v>155</v>
      </c>
      <c r="C1074" t="s">
        <v>222</v>
      </c>
      <c r="D1074" t="s">
        <v>42</v>
      </c>
      <c r="E1074" t="s">
        <v>136</v>
      </c>
      <c r="F1074" t="s">
        <v>67</v>
      </c>
      <c r="G1074">
        <v>5</v>
      </c>
      <c r="H1074">
        <v>4069</v>
      </c>
      <c r="I1074">
        <v>20345</v>
      </c>
    </row>
    <row r="1075" spans="1:9" x14ac:dyDescent="0.3">
      <c r="A1075">
        <v>1324</v>
      </c>
      <c r="B1075" t="s">
        <v>569</v>
      </c>
      <c r="C1075" t="s">
        <v>29</v>
      </c>
      <c r="D1075" t="s">
        <v>16</v>
      </c>
      <c r="E1075" t="s">
        <v>36</v>
      </c>
      <c r="F1075" t="s">
        <v>13</v>
      </c>
      <c r="G1075">
        <v>3</v>
      </c>
      <c r="H1075">
        <v>2091</v>
      </c>
      <c r="I1075">
        <v>6273</v>
      </c>
    </row>
    <row r="1076" spans="1:9" x14ac:dyDescent="0.3">
      <c r="A1076">
        <v>1118</v>
      </c>
      <c r="B1076" t="s">
        <v>283</v>
      </c>
      <c r="C1076" t="s">
        <v>331</v>
      </c>
      <c r="D1076" t="s">
        <v>25</v>
      </c>
      <c r="E1076" t="s">
        <v>21</v>
      </c>
      <c r="F1076" t="s">
        <v>46</v>
      </c>
      <c r="G1076">
        <v>3</v>
      </c>
      <c r="H1076">
        <v>4791</v>
      </c>
      <c r="I1076">
        <v>14373</v>
      </c>
    </row>
    <row r="1077" spans="1:9" x14ac:dyDescent="0.3">
      <c r="A1077">
        <v>1495</v>
      </c>
      <c r="B1077" t="s">
        <v>104</v>
      </c>
      <c r="C1077" t="s">
        <v>457</v>
      </c>
      <c r="D1077" t="s">
        <v>11</v>
      </c>
      <c r="E1077" t="s">
        <v>49</v>
      </c>
      <c r="F1077" t="s">
        <v>46</v>
      </c>
      <c r="G1077">
        <v>5</v>
      </c>
      <c r="H1077">
        <v>2206</v>
      </c>
      <c r="I1077">
        <v>11030</v>
      </c>
    </row>
    <row r="1078" spans="1:9" x14ac:dyDescent="0.3">
      <c r="A1078">
        <v>1598</v>
      </c>
      <c r="B1078" t="s">
        <v>633</v>
      </c>
      <c r="C1078" t="s">
        <v>146</v>
      </c>
      <c r="D1078" t="s">
        <v>35</v>
      </c>
      <c r="E1078" t="s">
        <v>36</v>
      </c>
      <c r="F1078" t="s">
        <v>95</v>
      </c>
      <c r="G1078">
        <v>1</v>
      </c>
      <c r="H1078">
        <v>867</v>
      </c>
      <c r="I1078">
        <v>867</v>
      </c>
    </row>
    <row r="1079" spans="1:9" x14ac:dyDescent="0.3">
      <c r="A1079">
        <v>1151</v>
      </c>
      <c r="B1079" t="s">
        <v>520</v>
      </c>
      <c r="C1079" t="s">
        <v>269</v>
      </c>
      <c r="D1079" t="s">
        <v>42</v>
      </c>
      <c r="E1079" t="s">
        <v>140</v>
      </c>
      <c r="F1079" t="s">
        <v>114</v>
      </c>
      <c r="G1079">
        <v>2</v>
      </c>
      <c r="H1079">
        <v>1189</v>
      </c>
      <c r="I1079">
        <v>2378</v>
      </c>
    </row>
    <row r="1080" spans="1:9" x14ac:dyDescent="0.3">
      <c r="A1080">
        <v>1481</v>
      </c>
      <c r="B1080" t="s">
        <v>211</v>
      </c>
      <c r="C1080" t="s">
        <v>311</v>
      </c>
      <c r="D1080" t="s">
        <v>11</v>
      </c>
      <c r="E1080" t="s">
        <v>83</v>
      </c>
      <c r="F1080" t="s">
        <v>78</v>
      </c>
      <c r="G1080">
        <v>1</v>
      </c>
      <c r="H1080">
        <v>1284</v>
      </c>
      <c r="I1080">
        <v>1284</v>
      </c>
    </row>
    <row r="1081" spans="1:9" x14ac:dyDescent="0.3">
      <c r="A1081">
        <v>1397</v>
      </c>
      <c r="B1081" t="s">
        <v>466</v>
      </c>
      <c r="C1081" t="s">
        <v>167</v>
      </c>
      <c r="D1081" t="s">
        <v>30</v>
      </c>
      <c r="E1081" t="s">
        <v>39</v>
      </c>
      <c r="F1081" t="s">
        <v>53</v>
      </c>
      <c r="G1081">
        <v>1</v>
      </c>
      <c r="H1081">
        <v>2959</v>
      </c>
      <c r="I1081">
        <v>2959</v>
      </c>
    </row>
    <row r="1082" spans="1:9" x14ac:dyDescent="0.3">
      <c r="A1082">
        <v>1110</v>
      </c>
      <c r="B1082" t="s">
        <v>134</v>
      </c>
      <c r="C1082" t="s">
        <v>397</v>
      </c>
      <c r="D1082" t="s">
        <v>62</v>
      </c>
      <c r="E1082" t="s">
        <v>26</v>
      </c>
      <c r="F1082" t="s">
        <v>75</v>
      </c>
      <c r="G1082">
        <v>4</v>
      </c>
      <c r="H1082">
        <v>2569</v>
      </c>
      <c r="I1082">
        <v>10276</v>
      </c>
    </row>
    <row r="1083" spans="1:9" x14ac:dyDescent="0.3">
      <c r="A1083">
        <v>1187</v>
      </c>
      <c r="B1083" t="s">
        <v>174</v>
      </c>
      <c r="C1083" t="s">
        <v>316</v>
      </c>
      <c r="D1083" t="s">
        <v>35</v>
      </c>
      <c r="E1083" t="s">
        <v>83</v>
      </c>
      <c r="F1083" t="s">
        <v>93</v>
      </c>
      <c r="G1083">
        <v>4</v>
      </c>
      <c r="H1083">
        <v>3307</v>
      </c>
      <c r="I1083">
        <v>13228</v>
      </c>
    </row>
    <row r="1084" spans="1:9" x14ac:dyDescent="0.3">
      <c r="A1084">
        <v>1286</v>
      </c>
      <c r="B1084" t="s">
        <v>591</v>
      </c>
      <c r="C1084" t="s">
        <v>173</v>
      </c>
      <c r="D1084" t="s">
        <v>42</v>
      </c>
      <c r="E1084" t="s">
        <v>36</v>
      </c>
      <c r="F1084" t="s">
        <v>75</v>
      </c>
      <c r="G1084">
        <v>5</v>
      </c>
      <c r="H1084">
        <v>4440</v>
      </c>
      <c r="I1084">
        <v>22200</v>
      </c>
    </row>
    <row r="1085" spans="1:9" x14ac:dyDescent="0.3">
      <c r="A1085">
        <v>1436</v>
      </c>
      <c r="B1085" t="s">
        <v>585</v>
      </c>
      <c r="C1085" t="s">
        <v>239</v>
      </c>
      <c r="D1085" t="s">
        <v>11</v>
      </c>
      <c r="E1085" t="s">
        <v>49</v>
      </c>
      <c r="F1085" t="s">
        <v>22</v>
      </c>
      <c r="G1085">
        <v>1</v>
      </c>
      <c r="H1085">
        <v>1925</v>
      </c>
      <c r="I1085">
        <v>1925</v>
      </c>
    </row>
    <row r="1086" spans="1:9" x14ac:dyDescent="0.3">
      <c r="A1086">
        <v>1321</v>
      </c>
      <c r="B1086" t="s">
        <v>515</v>
      </c>
      <c r="C1086" t="s">
        <v>452</v>
      </c>
      <c r="D1086" t="s">
        <v>30</v>
      </c>
      <c r="E1086" t="s">
        <v>89</v>
      </c>
      <c r="F1086" t="s">
        <v>13</v>
      </c>
      <c r="G1086">
        <v>3</v>
      </c>
      <c r="H1086">
        <v>4186</v>
      </c>
      <c r="I1086">
        <v>12558</v>
      </c>
    </row>
    <row r="1087" spans="1:9" x14ac:dyDescent="0.3">
      <c r="A1087">
        <v>1295</v>
      </c>
      <c r="B1087" t="s">
        <v>428</v>
      </c>
      <c r="C1087" t="s">
        <v>201</v>
      </c>
      <c r="D1087" t="s">
        <v>11</v>
      </c>
      <c r="E1087" t="s">
        <v>56</v>
      </c>
      <c r="F1087" t="s">
        <v>93</v>
      </c>
      <c r="G1087">
        <v>1</v>
      </c>
      <c r="H1087">
        <v>1894</v>
      </c>
      <c r="I1087">
        <v>1894</v>
      </c>
    </row>
    <row r="1088" spans="1:9" x14ac:dyDescent="0.3">
      <c r="A1088">
        <v>1172</v>
      </c>
      <c r="B1088" t="s">
        <v>601</v>
      </c>
      <c r="C1088" t="s">
        <v>256</v>
      </c>
      <c r="D1088" t="s">
        <v>42</v>
      </c>
      <c r="E1088" t="s">
        <v>31</v>
      </c>
      <c r="F1088" t="s">
        <v>57</v>
      </c>
      <c r="G1088">
        <v>4</v>
      </c>
      <c r="H1088">
        <v>411</v>
      </c>
      <c r="I1088">
        <v>1644</v>
      </c>
    </row>
    <row r="1089" spans="1:9" x14ac:dyDescent="0.3">
      <c r="A1089">
        <v>1584</v>
      </c>
      <c r="B1089" t="s">
        <v>556</v>
      </c>
      <c r="C1089" t="s">
        <v>539</v>
      </c>
      <c r="D1089" t="s">
        <v>62</v>
      </c>
      <c r="E1089" t="s">
        <v>49</v>
      </c>
      <c r="F1089" t="s">
        <v>67</v>
      </c>
      <c r="G1089">
        <v>3</v>
      </c>
      <c r="H1089">
        <v>1097</v>
      </c>
      <c r="I1089">
        <v>3291</v>
      </c>
    </row>
    <row r="1090" spans="1:9" x14ac:dyDescent="0.3">
      <c r="A1090">
        <v>1122</v>
      </c>
      <c r="B1090" t="s">
        <v>217</v>
      </c>
      <c r="C1090" t="s">
        <v>612</v>
      </c>
      <c r="D1090" t="s">
        <v>25</v>
      </c>
      <c r="E1090" t="s">
        <v>21</v>
      </c>
      <c r="F1090" t="s">
        <v>46</v>
      </c>
      <c r="G1090">
        <v>2</v>
      </c>
      <c r="H1090">
        <v>2481</v>
      </c>
      <c r="I1090">
        <v>4962</v>
      </c>
    </row>
    <row r="1091" spans="1:9" x14ac:dyDescent="0.3">
      <c r="A1091">
        <v>1362</v>
      </c>
      <c r="B1091" t="s">
        <v>458</v>
      </c>
      <c r="C1091" t="s">
        <v>210</v>
      </c>
      <c r="D1091" t="s">
        <v>11</v>
      </c>
      <c r="E1091" t="s">
        <v>100</v>
      </c>
      <c r="F1091" t="s">
        <v>72</v>
      </c>
      <c r="G1091">
        <v>5</v>
      </c>
      <c r="H1091">
        <v>2947</v>
      </c>
      <c r="I1091">
        <v>14735</v>
      </c>
    </row>
    <row r="1092" spans="1:9" x14ac:dyDescent="0.3">
      <c r="A1092">
        <v>1525</v>
      </c>
      <c r="B1092" t="s">
        <v>651</v>
      </c>
      <c r="C1092" t="s">
        <v>646</v>
      </c>
      <c r="D1092" t="s">
        <v>52</v>
      </c>
      <c r="E1092" t="s">
        <v>83</v>
      </c>
      <c r="F1092" t="s">
        <v>112</v>
      </c>
      <c r="G1092">
        <v>1</v>
      </c>
      <c r="H1092">
        <v>4470</v>
      </c>
      <c r="I1092">
        <v>4470</v>
      </c>
    </row>
    <row r="1093" spans="1:9" x14ac:dyDescent="0.3">
      <c r="A1093">
        <v>1036</v>
      </c>
      <c r="B1093" t="s">
        <v>509</v>
      </c>
      <c r="C1093" t="s">
        <v>51</v>
      </c>
      <c r="D1093" t="s">
        <v>52</v>
      </c>
      <c r="E1093" t="s">
        <v>31</v>
      </c>
      <c r="F1093" t="s">
        <v>93</v>
      </c>
      <c r="G1093">
        <v>2</v>
      </c>
      <c r="H1093">
        <v>1802</v>
      </c>
      <c r="I1093">
        <v>3604</v>
      </c>
    </row>
    <row r="1094" spans="1:9" x14ac:dyDescent="0.3">
      <c r="A1094">
        <v>1191</v>
      </c>
      <c r="B1094" t="s">
        <v>578</v>
      </c>
      <c r="C1094" t="s">
        <v>647</v>
      </c>
      <c r="D1094" t="s">
        <v>16</v>
      </c>
      <c r="E1094" t="s">
        <v>17</v>
      </c>
      <c r="F1094" t="s">
        <v>114</v>
      </c>
      <c r="G1094">
        <v>1</v>
      </c>
      <c r="H1094">
        <v>3757</v>
      </c>
      <c r="I1094">
        <v>3757</v>
      </c>
    </row>
    <row r="1095" spans="1:9" x14ac:dyDescent="0.3">
      <c r="A1095">
        <v>1213</v>
      </c>
      <c r="B1095" t="s">
        <v>325</v>
      </c>
      <c r="C1095" t="s">
        <v>164</v>
      </c>
      <c r="D1095" t="s">
        <v>52</v>
      </c>
      <c r="E1095" t="s">
        <v>56</v>
      </c>
      <c r="F1095" t="s">
        <v>78</v>
      </c>
      <c r="G1095">
        <v>5</v>
      </c>
      <c r="H1095">
        <v>2122</v>
      </c>
      <c r="I1095">
        <v>10610</v>
      </c>
    </row>
    <row r="1096" spans="1:9" x14ac:dyDescent="0.3">
      <c r="A1096">
        <v>1184</v>
      </c>
      <c r="B1096" t="s">
        <v>373</v>
      </c>
      <c r="C1096" t="s">
        <v>557</v>
      </c>
      <c r="D1096" t="s">
        <v>62</v>
      </c>
      <c r="E1096" t="s">
        <v>140</v>
      </c>
      <c r="F1096" t="s">
        <v>101</v>
      </c>
      <c r="G1096">
        <v>4</v>
      </c>
      <c r="H1096">
        <v>3125</v>
      </c>
      <c r="I1096">
        <v>12500</v>
      </c>
    </row>
    <row r="1097" spans="1:9" x14ac:dyDescent="0.3">
      <c r="A1097">
        <v>1224</v>
      </c>
      <c r="B1097" t="s">
        <v>480</v>
      </c>
      <c r="C1097" t="s">
        <v>386</v>
      </c>
      <c r="D1097" t="s">
        <v>35</v>
      </c>
      <c r="E1097" t="s">
        <v>26</v>
      </c>
      <c r="F1097" t="s">
        <v>75</v>
      </c>
      <c r="G1097">
        <v>2</v>
      </c>
      <c r="H1097">
        <v>3680</v>
      </c>
      <c r="I1097">
        <v>7360</v>
      </c>
    </row>
    <row r="1098" spans="1:9" x14ac:dyDescent="0.3">
      <c r="A1098">
        <v>1326</v>
      </c>
      <c r="B1098" t="s">
        <v>468</v>
      </c>
      <c r="C1098" t="s">
        <v>157</v>
      </c>
      <c r="D1098" t="s">
        <v>62</v>
      </c>
      <c r="E1098" t="s">
        <v>12</v>
      </c>
      <c r="F1098" t="s">
        <v>75</v>
      </c>
      <c r="G1098">
        <v>4</v>
      </c>
      <c r="H1098">
        <v>3575</v>
      </c>
      <c r="I1098">
        <v>14300</v>
      </c>
    </row>
    <row r="1099" spans="1:9" x14ac:dyDescent="0.3">
      <c r="A1099">
        <v>1274</v>
      </c>
      <c r="B1099" t="s">
        <v>205</v>
      </c>
      <c r="C1099" t="s">
        <v>15</v>
      </c>
      <c r="D1099" t="s">
        <v>30</v>
      </c>
      <c r="E1099" t="s">
        <v>21</v>
      </c>
      <c r="F1099" t="s">
        <v>124</v>
      </c>
      <c r="G1099">
        <v>3</v>
      </c>
      <c r="H1099">
        <v>3568</v>
      </c>
      <c r="I1099">
        <v>10704</v>
      </c>
    </row>
    <row r="1100" spans="1:9" x14ac:dyDescent="0.3">
      <c r="A1100">
        <v>1408</v>
      </c>
      <c r="B1100" t="s">
        <v>377</v>
      </c>
      <c r="C1100" t="s">
        <v>228</v>
      </c>
      <c r="D1100" t="s">
        <v>16</v>
      </c>
      <c r="E1100" t="s">
        <v>92</v>
      </c>
      <c r="F1100" t="s">
        <v>112</v>
      </c>
      <c r="G1100">
        <v>3</v>
      </c>
      <c r="H1100">
        <v>573</v>
      </c>
      <c r="I1100">
        <v>1719</v>
      </c>
    </row>
    <row r="1101" spans="1:9" x14ac:dyDescent="0.3">
      <c r="A1101">
        <v>1586</v>
      </c>
      <c r="B1101" t="s">
        <v>84</v>
      </c>
      <c r="C1101" t="s">
        <v>365</v>
      </c>
      <c r="D1101" t="s">
        <v>11</v>
      </c>
      <c r="E1101" t="s">
        <v>100</v>
      </c>
      <c r="G1101">
        <v>5</v>
      </c>
      <c r="H1101">
        <v>4621</v>
      </c>
      <c r="I1101">
        <v>23105</v>
      </c>
    </row>
    <row r="1102" spans="1:9" x14ac:dyDescent="0.3">
      <c r="A1102">
        <v>1388</v>
      </c>
      <c r="B1102" t="s">
        <v>290</v>
      </c>
      <c r="C1102" t="s">
        <v>241</v>
      </c>
      <c r="D1102" t="s">
        <v>42</v>
      </c>
      <c r="E1102" t="s">
        <v>89</v>
      </c>
      <c r="F1102" t="s">
        <v>95</v>
      </c>
      <c r="G1102">
        <v>5</v>
      </c>
      <c r="H1102">
        <v>1924</v>
      </c>
      <c r="I1102">
        <v>9620</v>
      </c>
    </row>
    <row r="1103" spans="1:9" x14ac:dyDescent="0.3">
      <c r="A1103">
        <v>1160</v>
      </c>
      <c r="B1103" t="s">
        <v>652</v>
      </c>
      <c r="C1103" t="s">
        <v>260</v>
      </c>
      <c r="D1103" t="s">
        <v>35</v>
      </c>
      <c r="E1103" t="s">
        <v>39</v>
      </c>
      <c r="F1103" t="s">
        <v>101</v>
      </c>
      <c r="G1103">
        <v>3</v>
      </c>
      <c r="H1103">
        <v>3586</v>
      </c>
      <c r="I1103">
        <v>10758</v>
      </c>
    </row>
    <row r="1104" spans="1:9" x14ac:dyDescent="0.3">
      <c r="A1104">
        <v>1013</v>
      </c>
      <c r="B1104" t="s">
        <v>597</v>
      </c>
      <c r="C1104" t="s">
        <v>263</v>
      </c>
      <c r="D1104" t="s">
        <v>52</v>
      </c>
      <c r="E1104" t="s">
        <v>83</v>
      </c>
      <c r="F1104" t="s">
        <v>57</v>
      </c>
      <c r="G1104">
        <v>4</v>
      </c>
      <c r="H1104">
        <v>546</v>
      </c>
      <c r="I1104">
        <v>2184</v>
      </c>
    </row>
    <row r="1105" spans="1:9" x14ac:dyDescent="0.3">
      <c r="A1105">
        <v>1235</v>
      </c>
      <c r="B1105" t="s">
        <v>603</v>
      </c>
      <c r="C1105" t="s">
        <v>284</v>
      </c>
      <c r="D1105" t="s">
        <v>25</v>
      </c>
      <c r="E1105" t="s">
        <v>100</v>
      </c>
      <c r="F1105" t="s">
        <v>72</v>
      </c>
      <c r="G1105">
        <v>4</v>
      </c>
      <c r="H1105">
        <v>3482</v>
      </c>
      <c r="I1105">
        <v>13928</v>
      </c>
    </row>
    <row r="1106" spans="1:9" x14ac:dyDescent="0.3">
      <c r="A1106">
        <v>1276</v>
      </c>
      <c r="B1106" t="s">
        <v>649</v>
      </c>
      <c r="C1106" t="s">
        <v>623</v>
      </c>
      <c r="D1106" t="s">
        <v>42</v>
      </c>
      <c r="E1106" t="s">
        <v>92</v>
      </c>
      <c r="F1106" t="s">
        <v>57</v>
      </c>
      <c r="G1106">
        <v>1</v>
      </c>
      <c r="H1106">
        <v>4637</v>
      </c>
      <c r="I1106">
        <v>4637</v>
      </c>
    </row>
    <row r="1107" spans="1:9" x14ac:dyDescent="0.3">
      <c r="A1107">
        <v>1400</v>
      </c>
      <c r="B1107" t="s">
        <v>559</v>
      </c>
      <c r="C1107" t="s">
        <v>293</v>
      </c>
      <c r="D1107" t="s">
        <v>42</v>
      </c>
      <c r="E1107" t="s">
        <v>26</v>
      </c>
      <c r="F1107" t="s">
        <v>95</v>
      </c>
      <c r="G1107">
        <v>3</v>
      </c>
      <c r="H1107">
        <v>2445</v>
      </c>
      <c r="I1107">
        <v>7335</v>
      </c>
    </row>
    <row r="1108" spans="1:9" x14ac:dyDescent="0.3">
      <c r="A1108">
        <v>1590</v>
      </c>
      <c r="B1108" t="s">
        <v>605</v>
      </c>
      <c r="C1108" t="s">
        <v>208</v>
      </c>
      <c r="D1108" t="s">
        <v>16</v>
      </c>
      <c r="E1108" t="s">
        <v>89</v>
      </c>
      <c r="F1108" t="s">
        <v>75</v>
      </c>
      <c r="G1108">
        <v>4</v>
      </c>
      <c r="H1108">
        <v>4795</v>
      </c>
      <c r="I1108">
        <v>19180</v>
      </c>
    </row>
    <row r="1109" spans="1:9" x14ac:dyDescent="0.3">
      <c r="A1109">
        <v>1546</v>
      </c>
      <c r="B1109" t="s">
        <v>205</v>
      </c>
      <c r="C1109" t="s">
        <v>135</v>
      </c>
      <c r="D1109" t="s">
        <v>52</v>
      </c>
      <c r="E1109" t="s">
        <v>45</v>
      </c>
      <c r="F1109" t="s">
        <v>124</v>
      </c>
      <c r="G1109">
        <v>3</v>
      </c>
      <c r="H1109">
        <v>4677</v>
      </c>
      <c r="I1109">
        <v>14031</v>
      </c>
    </row>
    <row r="1110" spans="1:9" x14ac:dyDescent="0.3">
      <c r="A1110">
        <v>1591</v>
      </c>
      <c r="B1110" t="s">
        <v>9</v>
      </c>
      <c r="C1110" t="s">
        <v>260</v>
      </c>
      <c r="D1110" t="s">
        <v>62</v>
      </c>
      <c r="E1110" t="s">
        <v>100</v>
      </c>
      <c r="F1110" t="s">
        <v>53</v>
      </c>
      <c r="G1110">
        <v>5</v>
      </c>
      <c r="H1110">
        <v>1092</v>
      </c>
      <c r="I1110">
        <v>5460</v>
      </c>
    </row>
    <row r="1111" spans="1:9" x14ac:dyDescent="0.3">
      <c r="A1111">
        <v>1085</v>
      </c>
      <c r="B1111" t="s">
        <v>653</v>
      </c>
      <c r="C1111" t="s">
        <v>491</v>
      </c>
      <c r="D1111" t="s">
        <v>16</v>
      </c>
      <c r="E1111" t="s">
        <v>140</v>
      </c>
      <c r="F1111" t="s">
        <v>114</v>
      </c>
      <c r="G1111">
        <v>1</v>
      </c>
      <c r="H1111">
        <v>1357</v>
      </c>
      <c r="I1111">
        <v>1357</v>
      </c>
    </row>
    <row r="1112" spans="1:9" x14ac:dyDescent="0.3">
      <c r="A1112">
        <v>1535</v>
      </c>
      <c r="B1112" t="s">
        <v>654</v>
      </c>
      <c r="C1112" t="s">
        <v>433</v>
      </c>
      <c r="D1112" t="s">
        <v>30</v>
      </c>
      <c r="E1112" t="s">
        <v>140</v>
      </c>
      <c r="F1112" t="s">
        <v>72</v>
      </c>
      <c r="G1112">
        <v>4</v>
      </c>
      <c r="H1112">
        <v>2751</v>
      </c>
      <c r="I1112">
        <v>11004</v>
      </c>
    </row>
    <row r="1113" spans="1:9" x14ac:dyDescent="0.3">
      <c r="A1113">
        <v>1037</v>
      </c>
      <c r="B1113" t="s">
        <v>352</v>
      </c>
      <c r="C1113" t="s">
        <v>185</v>
      </c>
      <c r="D1113" t="s">
        <v>16</v>
      </c>
      <c r="E1113" t="s">
        <v>21</v>
      </c>
      <c r="F1113" t="s">
        <v>124</v>
      </c>
      <c r="G1113">
        <v>5</v>
      </c>
      <c r="H1113">
        <v>4203</v>
      </c>
      <c r="I1113">
        <v>21015</v>
      </c>
    </row>
    <row r="1114" spans="1:9" x14ac:dyDescent="0.3">
      <c r="A1114">
        <v>1241</v>
      </c>
      <c r="B1114" t="s">
        <v>352</v>
      </c>
      <c r="C1114" t="s">
        <v>301</v>
      </c>
      <c r="D1114" t="s">
        <v>25</v>
      </c>
      <c r="E1114" t="s">
        <v>136</v>
      </c>
      <c r="F1114" t="s">
        <v>67</v>
      </c>
      <c r="G1114">
        <v>4</v>
      </c>
      <c r="H1114">
        <v>834</v>
      </c>
      <c r="I1114">
        <v>3336</v>
      </c>
    </row>
    <row r="1115" spans="1:9" x14ac:dyDescent="0.3">
      <c r="A1115">
        <v>1165</v>
      </c>
      <c r="B1115" t="s">
        <v>143</v>
      </c>
      <c r="C1115" t="s">
        <v>88</v>
      </c>
      <c r="D1115" t="s">
        <v>62</v>
      </c>
      <c r="E1115" t="s">
        <v>31</v>
      </c>
      <c r="F1115" t="s">
        <v>93</v>
      </c>
      <c r="G1115">
        <v>1</v>
      </c>
      <c r="H1115">
        <v>519</v>
      </c>
      <c r="I1115">
        <v>519</v>
      </c>
    </row>
    <row r="1116" spans="1:9" x14ac:dyDescent="0.3">
      <c r="A1116">
        <v>1537</v>
      </c>
      <c r="B1116" t="s">
        <v>505</v>
      </c>
      <c r="C1116" t="s">
        <v>146</v>
      </c>
      <c r="D1116" t="s">
        <v>30</v>
      </c>
      <c r="E1116" t="s">
        <v>136</v>
      </c>
      <c r="F1116" t="s">
        <v>46</v>
      </c>
      <c r="G1116">
        <v>1</v>
      </c>
      <c r="H1116">
        <v>3767</v>
      </c>
      <c r="I1116">
        <v>3767</v>
      </c>
    </row>
    <row r="1117" spans="1:9" x14ac:dyDescent="0.3">
      <c r="A1117">
        <v>1277</v>
      </c>
      <c r="B1117" t="s">
        <v>181</v>
      </c>
      <c r="C1117" t="s">
        <v>239</v>
      </c>
      <c r="D1117" t="s">
        <v>11</v>
      </c>
      <c r="E1117" t="s">
        <v>12</v>
      </c>
      <c r="F1117" t="s">
        <v>133</v>
      </c>
      <c r="G1117">
        <v>3</v>
      </c>
      <c r="H1117">
        <v>4486</v>
      </c>
      <c r="I1117">
        <v>13458</v>
      </c>
    </row>
    <row r="1118" spans="1:9" x14ac:dyDescent="0.3">
      <c r="A1118">
        <v>1380</v>
      </c>
      <c r="B1118" t="s">
        <v>508</v>
      </c>
      <c r="C1118" t="s">
        <v>24</v>
      </c>
      <c r="D1118" t="s">
        <v>16</v>
      </c>
      <c r="E1118" t="s">
        <v>26</v>
      </c>
      <c r="F1118" t="s">
        <v>75</v>
      </c>
      <c r="G1118">
        <v>3</v>
      </c>
      <c r="H1118">
        <v>1308</v>
      </c>
      <c r="I1118">
        <v>3924</v>
      </c>
    </row>
    <row r="1119" spans="1:9" x14ac:dyDescent="0.3">
      <c r="A1119">
        <v>1485</v>
      </c>
      <c r="B1119" t="s">
        <v>617</v>
      </c>
      <c r="C1119" t="s">
        <v>372</v>
      </c>
      <c r="D1119" t="s">
        <v>62</v>
      </c>
      <c r="E1119" t="s">
        <v>49</v>
      </c>
      <c r="F1119" t="s">
        <v>128</v>
      </c>
      <c r="G1119">
        <v>1</v>
      </c>
      <c r="H1119">
        <v>245</v>
      </c>
      <c r="I1119">
        <v>245</v>
      </c>
    </row>
    <row r="1120" spans="1:9" x14ac:dyDescent="0.3">
      <c r="A1120">
        <v>1096</v>
      </c>
      <c r="B1120" t="s">
        <v>499</v>
      </c>
      <c r="C1120" t="s">
        <v>243</v>
      </c>
      <c r="D1120" t="s">
        <v>62</v>
      </c>
      <c r="E1120" t="s">
        <v>89</v>
      </c>
      <c r="F1120" t="s">
        <v>27</v>
      </c>
      <c r="G1120">
        <v>5</v>
      </c>
      <c r="H1120">
        <v>1481</v>
      </c>
      <c r="I1120">
        <v>7405</v>
      </c>
    </row>
    <row r="1121" spans="1:9" x14ac:dyDescent="0.3">
      <c r="A1121">
        <v>1231</v>
      </c>
      <c r="B1121" t="s">
        <v>23</v>
      </c>
      <c r="C1121" t="s">
        <v>51</v>
      </c>
      <c r="D1121" t="s">
        <v>30</v>
      </c>
      <c r="E1121" t="s">
        <v>56</v>
      </c>
      <c r="F1121" t="s">
        <v>93</v>
      </c>
      <c r="G1121">
        <v>4</v>
      </c>
      <c r="H1121">
        <v>4987</v>
      </c>
      <c r="I1121">
        <v>19948</v>
      </c>
    </row>
    <row r="1122" spans="1:9" x14ac:dyDescent="0.3">
      <c r="A1122">
        <v>1412</v>
      </c>
      <c r="B1122" t="s">
        <v>122</v>
      </c>
      <c r="C1122" t="s">
        <v>491</v>
      </c>
      <c r="D1122" t="s">
        <v>25</v>
      </c>
      <c r="E1122" t="s">
        <v>39</v>
      </c>
      <c r="F1122" t="s">
        <v>72</v>
      </c>
      <c r="G1122">
        <v>2</v>
      </c>
      <c r="H1122">
        <v>2493</v>
      </c>
      <c r="I1122">
        <v>4986</v>
      </c>
    </row>
    <row r="1123" spans="1:9" x14ac:dyDescent="0.3">
      <c r="A1123">
        <v>1129</v>
      </c>
      <c r="B1123" t="s">
        <v>181</v>
      </c>
      <c r="C1123" t="s">
        <v>71</v>
      </c>
      <c r="D1123" t="s">
        <v>62</v>
      </c>
      <c r="E1123" t="s">
        <v>21</v>
      </c>
      <c r="G1123">
        <v>2</v>
      </c>
      <c r="H1123">
        <v>1577</v>
      </c>
      <c r="I1123">
        <v>3154</v>
      </c>
    </row>
    <row r="1124" spans="1:9" x14ac:dyDescent="0.3">
      <c r="A1124">
        <v>1221</v>
      </c>
      <c r="B1124" t="s">
        <v>290</v>
      </c>
      <c r="C1124" t="s">
        <v>624</v>
      </c>
      <c r="D1124" t="s">
        <v>62</v>
      </c>
      <c r="E1124" t="s">
        <v>39</v>
      </c>
      <c r="F1124" t="s">
        <v>114</v>
      </c>
      <c r="G1124">
        <v>1</v>
      </c>
      <c r="H1124">
        <v>2848</v>
      </c>
      <c r="I1124">
        <v>2848</v>
      </c>
    </row>
    <row r="1125" spans="1:9" x14ac:dyDescent="0.3">
      <c r="A1125">
        <v>1140</v>
      </c>
      <c r="B1125" t="s">
        <v>406</v>
      </c>
      <c r="C1125" t="s">
        <v>251</v>
      </c>
      <c r="D1125" t="s">
        <v>35</v>
      </c>
      <c r="E1125" t="s">
        <v>45</v>
      </c>
      <c r="F1125" t="s">
        <v>46</v>
      </c>
      <c r="G1125">
        <v>3</v>
      </c>
      <c r="H1125">
        <v>4299</v>
      </c>
      <c r="I1125">
        <v>12897</v>
      </c>
    </row>
    <row r="1126" spans="1:9" x14ac:dyDescent="0.3">
      <c r="A1126">
        <v>1402</v>
      </c>
      <c r="B1126" t="s">
        <v>396</v>
      </c>
      <c r="C1126" t="s">
        <v>646</v>
      </c>
      <c r="D1126" t="s">
        <v>30</v>
      </c>
      <c r="E1126" t="s">
        <v>21</v>
      </c>
      <c r="F1126" t="s">
        <v>46</v>
      </c>
      <c r="G1126">
        <v>5</v>
      </c>
      <c r="H1126">
        <v>2796</v>
      </c>
      <c r="I1126">
        <v>13980</v>
      </c>
    </row>
    <row r="1127" spans="1:9" x14ac:dyDescent="0.3">
      <c r="A1127">
        <v>1219</v>
      </c>
      <c r="B1127" t="s">
        <v>84</v>
      </c>
      <c r="C1127" t="s">
        <v>202</v>
      </c>
      <c r="D1127" t="s">
        <v>62</v>
      </c>
      <c r="E1127" t="s">
        <v>26</v>
      </c>
      <c r="F1127" t="s">
        <v>13</v>
      </c>
      <c r="G1127">
        <v>4</v>
      </c>
      <c r="H1127">
        <v>2252</v>
      </c>
      <c r="I1127">
        <v>9008</v>
      </c>
    </row>
    <row r="1128" spans="1:9" x14ac:dyDescent="0.3">
      <c r="A1128">
        <v>1445</v>
      </c>
      <c r="B1128" t="s">
        <v>655</v>
      </c>
      <c r="C1128" t="s">
        <v>400</v>
      </c>
      <c r="D1128" t="s">
        <v>62</v>
      </c>
      <c r="E1128" t="s">
        <v>100</v>
      </c>
      <c r="F1128" t="s">
        <v>72</v>
      </c>
      <c r="G1128">
        <v>3</v>
      </c>
      <c r="H1128">
        <v>3674</v>
      </c>
      <c r="I1128">
        <v>11022</v>
      </c>
    </row>
    <row r="1129" spans="1:9" x14ac:dyDescent="0.3">
      <c r="A1129">
        <v>1195</v>
      </c>
      <c r="B1129" t="s">
        <v>287</v>
      </c>
      <c r="C1129" t="s">
        <v>291</v>
      </c>
      <c r="D1129" t="s">
        <v>62</v>
      </c>
      <c r="E1129" t="s">
        <v>39</v>
      </c>
      <c r="F1129" t="s">
        <v>72</v>
      </c>
      <c r="G1129">
        <v>3</v>
      </c>
      <c r="H1129">
        <v>4509</v>
      </c>
      <c r="I1129">
        <v>13527</v>
      </c>
    </row>
    <row r="1130" spans="1:9" x14ac:dyDescent="0.3">
      <c r="A1130">
        <v>1336</v>
      </c>
      <c r="B1130" t="s">
        <v>653</v>
      </c>
      <c r="C1130" t="s">
        <v>228</v>
      </c>
      <c r="D1130" t="s">
        <v>30</v>
      </c>
      <c r="E1130" t="s">
        <v>89</v>
      </c>
      <c r="F1130" t="s">
        <v>95</v>
      </c>
      <c r="G1130">
        <v>1</v>
      </c>
      <c r="H1130">
        <v>2452</v>
      </c>
      <c r="I1130">
        <v>2452</v>
      </c>
    </row>
    <row r="1131" spans="1:9" x14ac:dyDescent="0.3">
      <c r="A1131">
        <v>1259</v>
      </c>
      <c r="B1131" t="s">
        <v>270</v>
      </c>
      <c r="C1131" t="s">
        <v>51</v>
      </c>
      <c r="D1131" t="s">
        <v>62</v>
      </c>
      <c r="E1131" t="s">
        <v>83</v>
      </c>
      <c r="F1131" t="s">
        <v>57</v>
      </c>
      <c r="G1131">
        <v>5</v>
      </c>
      <c r="H1131">
        <v>3923</v>
      </c>
      <c r="I1131">
        <v>19615</v>
      </c>
    </row>
    <row r="1132" spans="1:9" x14ac:dyDescent="0.3">
      <c r="A1132">
        <v>1558</v>
      </c>
      <c r="B1132" t="s">
        <v>399</v>
      </c>
      <c r="C1132" t="s">
        <v>216</v>
      </c>
      <c r="D1132" t="s">
        <v>11</v>
      </c>
      <c r="E1132" t="s">
        <v>12</v>
      </c>
      <c r="F1132" t="s">
        <v>27</v>
      </c>
      <c r="G1132">
        <v>2</v>
      </c>
      <c r="H1132">
        <v>878</v>
      </c>
      <c r="I1132">
        <v>1756</v>
      </c>
    </row>
    <row r="1133" spans="1:9" x14ac:dyDescent="0.3">
      <c r="A1133">
        <v>1057</v>
      </c>
      <c r="B1133" t="s">
        <v>217</v>
      </c>
      <c r="C1133" t="s">
        <v>309</v>
      </c>
      <c r="D1133" t="s">
        <v>30</v>
      </c>
      <c r="E1133" t="s">
        <v>83</v>
      </c>
      <c r="F1133" t="s">
        <v>112</v>
      </c>
      <c r="G1133">
        <v>2</v>
      </c>
      <c r="H1133">
        <v>336</v>
      </c>
      <c r="I1133">
        <v>672</v>
      </c>
    </row>
    <row r="1134" spans="1:9" x14ac:dyDescent="0.3">
      <c r="A1134">
        <v>1324</v>
      </c>
      <c r="B1134" t="s">
        <v>325</v>
      </c>
      <c r="C1134" t="s">
        <v>385</v>
      </c>
      <c r="D1134" t="s">
        <v>52</v>
      </c>
      <c r="E1134" t="s">
        <v>89</v>
      </c>
      <c r="F1134" t="s">
        <v>133</v>
      </c>
      <c r="G1134">
        <v>4</v>
      </c>
      <c r="H1134">
        <v>703</v>
      </c>
      <c r="I1134">
        <v>2812</v>
      </c>
    </row>
    <row r="1135" spans="1:9" x14ac:dyDescent="0.3">
      <c r="A1135">
        <v>1513</v>
      </c>
      <c r="B1135" t="s">
        <v>343</v>
      </c>
      <c r="C1135" t="s">
        <v>482</v>
      </c>
      <c r="D1135" t="s">
        <v>62</v>
      </c>
      <c r="E1135" t="s">
        <v>12</v>
      </c>
      <c r="F1135" t="s">
        <v>27</v>
      </c>
      <c r="G1135">
        <v>1</v>
      </c>
      <c r="H1135">
        <v>2457</v>
      </c>
      <c r="I1135">
        <v>2457</v>
      </c>
    </row>
    <row r="1136" spans="1:9" x14ac:dyDescent="0.3">
      <c r="A1136">
        <v>1419</v>
      </c>
      <c r="B1136" t="s">
        <v>626</v>
      </c>
      <c r="C1136" t="s">
        <v>38</v>
      </c>
      <c r="D1136" t="s">
        <v>35</v>
      </c>
      <c r="E1136" t="s">
        <v>56</v>
      </c>
      <c r="F1136" t="s">
        <v>112</v>
      </c>
      <c r="G1136">
        <v>1</v>
      </c>
      <c r="H1136">
        <v>2997</v>
      </c>
      <c r="I1136">
        <v>2997</v>
      </c>
    </row>
    <row r="1137" spans="1:9" x14ac:dyDescent="0.3">
      <c r="A1137">
        <v>1088</v>
      </c>
      <c r="B1137" t="s">
        <v>235</v>
      </c>
      <c r="C1137" t="s">
        <v>645</v>
      </c>
      <c r="D1137" t="s">
        <v>25</v>
      </c>
      <c r="E1137" t="s">
        <v>136</v>
      </c>
      <c r="F1137" t="s">
        <v>124</v>
      </c>
      <c r="G1137">
        <v>2</v>
      </c>
      <c r="H1137">
        <v>907</v>
      </c>
      <c r="I1137">
        <v>1814</v>
      </c>
    </row>
    <row r="1138" spans="1:9" x14ac:dyDescent="0.3">
      <c r="A1138">
        <v>1020</v>
      </c>
      <c r="B1138" t="s">
        <v>393</v>
      </c>
      <c r="C1138" t="s">
        <v>187</v>
      </c>
      <c r="D1138" t="s">
        <v>62</v>
      </c>
      <c r="E1138" t="s">
        <v>56</v>
      </c>
      <c r="F1138" t="s">
        <v>93</v>
      </c>
      <c r="G1138">
        <v>1</v>
      </c>
      <c r="H1138">
        <v>2221</v>
      </c>
      <c r="I1138">
        <v>2221</v>
      </c>
    </row>
    <row r="1139" spans="1:9" x14ac:dyDescent="0.3">
      <c r="A1139">
        <v>1195</v>
      </c>
      <c r="B1139" t="s">
        <v>606</v>
      </c>
      <c r="C1139" t="s">
        <v>69</v>
      </c>
      <c r="D1139" t="s">
        <v>11</v>
      </c>
      <c r="E1139" t="s">
        <v>56</v>
      </c>
      <c r="F1139" t="s">
        <v>78</v>
      </c>
      <c r="G1139">
        <v>3</v>
      </c>
      <c r="H1139">
        <v>1350</v>
      </c>
      <c r="I1139">
        <v>4050</v>
      </c>
    </row>
    <row r="1140" spans="1:9" x14ac:dyDescent="0.3">
      <c r="A1140">
        <v>1192</v>
      </c>
      <c r="B1140" t="s">
        <v>600</v>
      </c>
      <c r="C1140" t="s">
        <v>631</v>
      </c>
      <c r="D1140" t="s">
        <v>30</v>
      </c>
      <c r="E1140" t="s">
        <v>100</v>
      </c>
      <c r="F1140" t="s">
        <v>114</v>
      </c>
      <c r="G1140">
        <v>4</v>
      </c>
      <c r="H1140">
        <v>2367</v>
      </c>
      <c r="I1140">
        <v>9468</v>
      </c>
    </row>
    <row r="1141" spans="1:9" x14ac:dyDescent="0.3">
      <c r="A1141">
        <v>1372</v>
      </c>
      <c r="B1141" t="s">
        <v>599</v>
      </c>
      <c r="C1141" t="s">
        <v>284</v>
      </c>
      <c r="D1141" t="s">
        <v>52</v>
      </c>
      <c r="E1141" t="s">
        <v>136</v>
      </c>
      <c r="F1141" t="s">
        <v>128</v>
      </c>
      <c r="G1141">
        <v>2</v>
      </c>
      <c r="H1141">
        <v>4606</v>
      </c>
      <c r="I1141">
        <v>9212</v>
      </c>
    </row>
    <row r="1142" spans="1:9" x14ac:dyDescent="0.3">
      <c r="A1142">
        <v>1444</v>
      </c>
      <c r="B1142" t="s">
        <v>642</v>
      </c>
      <c r="C1142" t="s">
        <v>273</v>
      </c>
      <c r="D1142" t="s">
        <v>30</v>
      </c>
      <c r="E1142" t="s">
        <v>36</v>
      </c>
      <c r="F1142" t="s">
        <v>13</v>
      </c>
      <c r="G1142">
        <v>1</v>
      </c>
      <c r="H1142">
        <v>4404</v>
      </c>
      <c r="I1142">
        <v>4404</v>
      </c>
    </row>
    <row r="1143" spans="1:9" x14ac:dyDescent="0.3">
      <c r="A1143">
        <v>1478</v>
      </c>
      <c r="B1143" t="s">
        <v>377</v>
      </c>
      <c r="C1143" t="s">
        <v>598</v>
      </c>
      <c r="D1143" t="s">
        <v>62</v>
      </c>
      <c r="E1143" t="s">
        <v>31</v>
      </c>
      <c r="F1143" t="s">
        <v>57</v>
      </c>
      <c r="G1143">
        <v>2</v>
      </c>
      <c r="H1143">
        <v>4027</v>
      </c>
      <c r="I1143">
        <v>8054</v>
      </c>
    </row>
    <row r="1144" spans="1:9" x14ac:dyDescent="0.3">
      <c r="A1144">
        <v>1386</v>
      </c>
      <c r="B1144" t="s">
        <v>131</v>
      </c>
      <c r="C1144" t="s">
        <v>71</v>
      </c>
      <c r="D1144" t="s">
        <v>35</v>
      </c>
      <c r="E1144" t="s">
        <v>83</v>
      </c>
      <c r="F1144" t="s">
        <v>112</v>
      </c>
      <c r="G1144">
        <v>1</v>
      </c>
      <c r="H1144">
        <v>1500</v>
      </c>
      <c r="I1144">
        <v>1500</v>
      </c>
    </row>
    <row r="1145" spans="1:9" x14ac:dyDescent="0.3">
      <c r="A1145">
        <v>1102</v>
      </c>
      <c r="B1145" t="s">
        <v>90</v>
      </c>
      <c r="C1145" t="s">
        <v>228</v>
      </c>
      <c r="D1145" t="s">
        <v>62</v>
      </c>
      <c r="E1145" t="s">
        <v>12</v>
      </c>
      <c r="F1145" t="s">
        <v>95</v>
      </c>
      <c r="G1145">
        <v>5</v>
      </c>
      <c r="H1145">
        <v>1725</v>
      </c>
      <c r="I1145">
        <v>8625</v>
      </c>
    </row>
    <row r="1146" spans="1:9" x14ac:dyDescent="0.3">
      <c r="A1146">
        <v>1467</v>
      </c>
      <c r="B1146" t="s">
        <v>402</v>
      </c>
      <c r="C1146" t="s">
        <v>526</v>
      </c>
      <c r="D1146" t="s">
        <v>16</v>
      </c>
      <c r="E1146" t="s">
        <v>45</v>
      </c>
      <c r="F1146" t="s">
        <v>46</v>
      </c>
      <c r="G1146">
        <v>3</v>
      </c>
      <c r="H1146">
        <v>3257</v>
      </c>
      <c r="I1146">
        <v>9771</v>
      </c>
    </row>
    <row r="1147" spans="1:9" x14ac:dyDescent="0.3">
      <c r="A1147">
        <v>1410</v>
      </c>
      <c r="B1147" t="s">
        <v>373</v>
      </c>
      <c r="C1147" t="s">
        <v>639</v>
      </c>
      <c r="D1147" t="s">
        <v>52</v>
      </c>
      <c r="E1147" t="s">
        <v>17</v>
      </c>
      <c r="F1147" t="s">
        <v>18</v>
      </c>
      <c r="G1147">
        <v>4</v>
      </c>
      <c r="H1147">
        <v>2406</v>
      </c>
      <c r="I1147">
        <v>9624</v>
      </c>
    </row>
    <row r="1148" spans="1:9" x14ac:dyDescent="0.3">
      <c r="A1148">
        <v>1029</v>
      </c>
      <c r="B1148" t="s">
        <v>590</v>
      </c>
      <c r="C1148" t="s">
        <v>498</v>
      </c>
      <c r="D1148" t="s">
        <v>11</v>
      </c>
      <c r="E1148" t="s">
        <v>39</v>
      </c>
      <c r="F1148" t="s">
        <v>101</v>
      </c>
      <c r="G1148">
        <v>2</v>
      </c>
      <c r="H1148">
        <v>2929</v>
      </c>
      <c r="I1148">
        <v>5858</v>
      </c>
    </row>
    <row r="1149" spans="1:9" x14ac:dyDescent="0.3">
      <c r="A1149">
        <v>1092</v>
      </c>
      <c r="B1149" t="s">
        <v>427</v>
      </c>
      <c r="C1149" t="s">
        <v>420</v>
      </c>
      <c r="D1149" t="s">
        <v>52</v>
      </c>
      <c r="E1149" t="s">
        <v>140</v>
      </c>
      <c r="G1149">
        <v>2</v>
      </c>
      <c r="H1149">
        <v>3973</v>
      </c>
      <c r="I1149">
        <v>7946</v>
      </c>
    </row>
    <row r="1150" spans="1:9" x14ac:dyDescent="0.3">
      <c r="A1150">
        <v>1176</v>
      </c>
      <c r="B1150" t="s">
        <v>242</v>
      </c>
      <c r="C1150" t="s">
        <v>118</v>
      </c>
      <c r="D1150" t="s">
        <v>16</v>
      </c>
      <c r="E1150" t="s">
        <v>31</v>
      </c>
      <c r="F1150" t="s">
        <v>93</v>
      </c>
      <c r="G1150">
        <v>4</v>
      </c>
      <c r="H1150">
        <v>938</v>
      </c>
      <c r="I1150">
        <v>3752</v>
      </c>
    </row>
    <row r="1151" spans="1:9" x14ac:dyDescent="0.3">
      <c r="A1151">
        <v>1568</v>
      </c>
      <c r="B1151" t="s">
        <v>362</v>
      </c>
      <c r="C1151" t="s">
        <v>252</v>
      </c>
      <c r="D1151" t="s">
        <v>25</v>
      </c>
      <c r="E1151" t="s">
        <v>21</v>
      </c>
      <c r="F1151" t="s">
        <v>128</v>
      </c>
      <c r="G1151">
        <v>4</v>
      </c>
      <c r="H1151">
        <v>4704</v>
      </c>
      <c r="I1151">
        <v>18816</v>
      </c>
    </row>
    <row r="1152" spans="1:9" x14ac:dyDescent="0.3">
      <c r="A1152">
        <v>1483</v>
      </c>
      <c r="B1152" t="s">
        <v>115</v>
      </c>
      <c r="C1152" t="s">
        <v>208</v>
      </c>
      <c r="D1152" t="s">
        <v>52</v>
      </c>
      <c r="E1152" t="s">
        <v>136</v>
      </c>
      <c r="F1152" t="s">
        <v>128</v>
      </c>
      <c r="G1152">
        <v>2</v>
      </c>
      <c r="H1152">
        <v>2807</v>
      </c>
      <c r="I1152">
        <v>5614</v>
      </c>
    </row>
    <row r="1153" spans="1:9" x14ac:dyDescent="0.3">
      <c r="A1153">
        <v>1334</v>
      </c>
      <c r="B1153" t="s">
        <v>275</v>
      </c>
      <c r="C1153" t="s">
        <v>500</v>
      </c>
      <c r="D1153" t="s">
        <v>25</v>
      </c>
      <c r="E1153" t="s">
        <v>45</v>
      </c>
      <c r="F1153" t="s">
        <v>67</v>
      </c>
      <c r="G1153">
        <v>3</v>
      </c>
      <c r="H1153">
        <v>4200</v>
      </c>
      <c r="I1153">
        <v>12600</v>
      </c>
    </row>
    <row r="1154" spans="1:9" x14ac:dyDescent="0.3">
      <c r="A1154">
        <v>1027</v>
      </c>
      <c r="B1154" t="s">
        <v>264</v>
      </c>
      <c r="C1154" t="s">
        <v>631</v>
      </c>
      <c r="D1154" t="s">
        <v>35</v>
      </c>
      <c r="E1154" t="s">
        <v>100</v>
      </c>
      <c r="F1154" t="s">
        <v>114</v>
      </c>
      <c r="G1154">
        <v>3</v>
      </c>
      <c r="H1154">
        <v>4307</v>
      </c>
      <c r="I1154">
        <v>12921</v>
      </c>
    </row>
    <row r="1155" spans="1:9" x14ac:dyDescent="0.3">
      <c r="A1155">
        <v>1407</v>
      </c>
      <c r="B1155" t="s">
        <v>272</v>
      </c>
      <c r="C1155" t="s">
        <v>273</v>
      </c>
      <c r="D1155" t="s">
        <v>16</v>
      </c>
      <c r="E1155" t="s">
        <v>140</v>
      </c>
      <c r="F1155" t="s">
        <v>114</v>
      </c>
      <c r="G1155">
        <v>1</v>
      </c>
      <c r="H1155">
        <v>1930</v>
      </c>
      <c r="I1155">
        <v>1930</v>
      </c>
    </row>
    <row r="1156" spans="1:9" x14ac:dyDescent="0.3">
      <c r="A1156">
        <v>1393</v>
      </c>
      <c r="B1156" t="s">
        <v>635</v>
      </c>
      <c r="C1156" t="s">
        <v>586</v>
      </c>
      <c r="D1156" t="s">
        <v>30</v>
      </c>
      <c r="E1156" t="s">
        <v>21</v>
      </c>
      <c r="F1156" t="s">
        <v>128</v>
      </c>
      <c r="G1156">
        <v>4</v>
      </c>
      <c r="H1156">
        <v>4137</v>
      </c>
      <c r="I1156">
        <v>16548</v>
      </c>
    </row>
    <row r="1157" spans="1:9" x14ac:dyDescent="0.3">
      <c r="A1157">
        <v>1431</v>
      </c>
      <c r="B1157" t="s">
        <v>364</v>
      </c>
      <c r="C1157" t="s">
        <v>527</v>
      </c>
      <c r="D1157" t="s">
        <v>62</v>
      </c>
      <c r="E1157" t="s">
        <v>136</v>
      </c>
      <c r="F1157" t="s">
        <v>67</v>
      </c>
      <c r="G1157">
        <v>1</v>
      </c>
      <c r="H1157">
        <v>3036</v>
      </c>
      <c r="I1157">
        <v>3036</v>
      </c>
    </row>
    <row r="1158" spans="1:9" x14ac:dyDescent="0.3">
      <c r="A1158">
        <v>1414</v>
      </c>
      <c r="B1158" t="s">
        <v>632</v>
      </c>
      <c r="C1158" t="s">
        <v>527</v>
      </c>
      <c r="D1158" t="s">
        <v>62</v>
      </c>
      <c r="E1158" t="s">
        <v>26</v>
      </c>
      <c r="F1158" t="s">
        <v>13</v>
      </c>
      <c r="G1158">
        <v>1</v>
      </c>
      <c r="H1158">
        <v>4182</v>
      </c>
      <c r="I1158">
        <v>4182</v>
      </c>
    </row>
    <row r="1159" spans="1:9" x14ac:dyDescent="0.3">
      <c r="A1159">
        <v>1432</v>
      </c>
      <c r="B1159" t="s">
        <v>492</v>
      </c>
      <c r="C1159" t="s">
        <v>327</v>
      </c>
      <c r="D1159" t="s">
        <v>62</v>
      </c>
      <c r="E1159" t="s">
        <v>136</v>
      </c>
      <c r="F1159" t="s">
        <v>22</v>
      </c>
      <c r="G1159">
        <v>5</v>
      </c>
      <c r="H1159">
        <v>3254</v>
      </c>
      <c r="I1159">
        <v>16270</v>
      </c>
    </row>
    <row r="1160" spans="1:9" x14ac:dyDescent="0.3">
      <c r="A1160">
        <v>1547</v>
      </c>
      <c r="B1160" t="s">
        <v>110</v>
      </c>
      <c r="C1160" t="s">
        <v>296</v>
      </c>
      <c r="D1160" t="s">
        <v>25</v>
      </c>
      <c r="E1160" t="s">
        <v>140</v>
      </c>
      <c r="F1160" t="s">
        <v>53</v>
      </c>
      <c r="G1160">
        <v>2</v>
      </c>
      <c r="H1160">
        <v>256</v>
      </c>
      <c r="I1160">
        <v>512</v>
      </c>
    </row>
    <row r="1161" spans="1:9" x14ac:dyDescent="0.3">
      <c r="A1161">
        <v>1264</v>
      </c>
      <c r="B1161" t="s">
        <v>337</v>
      </c>
      <c r="C1161" t="s">
        <v>498</v>
      </c>
      <c r="D1161" t="s">
        <v>62</v>
      </c>
      <c r="E1161" t="s">
        <v>136</v>
      </c>
      <c r="F1161" t="s">
        <v>46</v>
      </c>
      <c r="G1161">
        <v>3</v>
      </c>
      <c r="H1161">
        <v>526</v>
      </c>
      <c r="I1161">
        <v>1578</v>
      </c>
    </row>
    <row r="1162" spans="1:9" x14ac:dyDescent="0.3">
      <c r="A1162">
        <v>1375</v>
      </c>
      <c r="B1162" t="s">
        <v>138</v>
      </c>
      <c r="C1162" t="s">
        <v>612</v>
      </c>
      <c r="D1162" t="s">
        <v>35</v>
      </c>
      <c r="E1162" t="s">
        <v>26</v>
      </c>
      <c r="F1162" t="s">
        <v>95</v>
      </c>
      <c r="G1162">
        <v>3</v>
      </c>
      <c r="H1162">
        <v>392</v>
      </c>
      <c r="I1162">
        <v>1176</v>
      </c>
    </row>
    <row r="1163" spans="1:9" x14ac:dyDescent="0.3">
      <c r="A1163">
        <v>1365</v>
      </c>
      <c r="B1163" t="s">
        <v>577</v>
      </c>
      <c r="C1163" t="s">
        <v>281</v>
      </c>
      <c r="D1163" t="s">
        <v>42</v>
      </c>
      <c r="E1163" t="s">
        <v>21</v>
      </c>
      <c r="F1163" t="s">
        <v>22</v>
      </c>
      <c r="G1163">
        <v>5</v>
      </c>
      <c r="H1163">
        <v>1114</v>
      </c>
      <c r="I1163">
        <v>5570</v>
      </c>
    </row>
    <row r="1164" spans="1:9" x14ac:dyDescent="0.3">
      <c r="A1164">
        <v>1405</v>
      </c>
      <c r="B1164" t="s">
        <v>656</v>
      </c>
      <c r="C1164" t="s">
        <v>588</v>
      </c>
      <c r="D1164" t="s">
        <v>11</v>
      </c>
      <c r="E1164" t="s">
        <v>83</v>
      </c>
      <c r="F1164" t="s">
        <v>57</v>
      </c>
      <c r="G1164">
        <v>2</v>
      </c>
      <c r="H1164">
        <v>4242</v>
      </c>
      <c r="I1164">
        <v>8484</v>
      </c>
    </row>
    <row r="1165" spans="1:9" x14ac:dyDescent="0.3">
      <c r="A1165">
        <v>1469</v>
      </c>
      <c r="B1165" t="s">
        <v>554</v>
      </c>
      <c r="C1165" t="s">
        <v>495</v>
      </c>
      <c r="D1165" t="s">
        <v>42</v>
      </c>
      <c r="E1165" t="s">
        <v>140</v>
      </c>
      <c r="F1165" t="s">
        <v>18</v>
      </c>
      <c r="G1165">
        <v>1</v>
      </c>
      <c r="H1165">
        <v>2875</v>
      </c>
      <c r="I1165">
        <v>2875</v>
      </c>
    </row>
    <row r="1166" spans="1:9" x14ac:dyDescent="0.3">
      <c r="A1166">
        <v>1103</v>
      </c>
      <c r="B1166" t="s">
        <v>287</v>
      </c>
      <c r="C1166" t="s">
        <v>498</v>
      </c>
      <c r="D1166" t="s">
        <v>52</v>
      </c>
      <c r="E1166" t="s">
        <v>56</v>
      </c>
      <c r="F1166" t="s">
        <v>112</v>
      </c>
      <c r="G1166">
        <v>4</v>
      </c>
      <c r="H1166">
        <v>383</v>
      </c>
      <c r="I1166">
        <v>1532</v>
      </c>
    </row>
    <row r="1167" spans="1:9" x14ac:dyDescent="0.3">
      <c r="A1167">
        <v>1081</v>
      </c>
      <c r="B1167" t="s">
        <v>389</v>
      </c>
      <c r="C1167" t="s">
        <v>318</v>
      </c>
      <c r="D1167" t="s">
        <v>30</v>
      </c>
      <c r="E1167" t="s">
        <v>56</v>
      </c>
      <c r="F1167" t="s">
        <v>93</v>
      </c>
      <c r="G1167">
        <v>5</v>
      </c>
      <c r="H1167">
        <v>4411</v>
      </c>
      <c r="I1167">
        <v>22055</v>
      </c>
    </row>
    <row r="1168" spans="1:9" x14ac:dyDescent="0.3">
      <c r="A1168">
        <v>1050</v>
      </c>
      <c r="B1168" t="s">
        <v>362</v>
      </c>
      <c r="C1168" t="s">
        <v>414</v>
      </c>
      <c r="D1168" t="s">
        <v>30</v>
      </c>
      <c r="E1168" t="s">
        <v>45</v>
      </c>
      <c r="F1168" t="s">
        <v>128</v>
      </c>
      <c r="G1168">
        <v>2</v>
      </c>
      <c r="H1168">
        <v>2467</v>
      </c>
      <c r="I1168">
        <v>4934</v>
      </c>
    </row>
    <row r="1169" spans="1:9" x14ac:dyDescent="0.3">
      <c r="A1169">
        <v>1408</v>
      </c>
      <c r="B1169" t="s">
        <v>470</v>
      </c>
      <c r="C1169" t="s">
        <v>151</v>
      </c>
      <c r="D1169" t="s">
        <v>52</v>
      </c>
      <c r="E1169" t="s">
        <v>89</v>
      </c>
      <c r="F1169" t="s">
        <v>95</v>
      </c>
      <c r="G1169">
        <v>2</v>
      </c>
      <c r="H1169">
        <v>353</v>
      </c>
      <c r="I1169">
        <v>706</v>
      </c>
    </row>
    <row r="1170" spans="1:9" x14ac:dyDescent="0.3">
      <c r="A1170">
        <v>1281</v>
      </c>
      <c r="B1170" t="s">
        <v>357</v>
      </c>
      <c r="C1170" t="s">
        <v>301</v>
      </c>
      <c r="D1170" t="s">
        <v>16</v>
      </c>
      <c r="E1170" t="s">
        <v>12</v>
      </c>
      <c r="F1170" t="s">
        <v>27</v>
      </c>
      <c r="G1170">
        <v>1</v>
      </c>
      <c r="H1170">
        <v>2859</v>
      </c>
      <c r="I1170">
        <v>2859</v>
      </c>
    </row>
    <row r="1171" spans="1:9" x14ac:dyDescent="0.3">
      <c r="A1171">
        <v>1471</v>
      </c>
      <c r="B1171" t="s">
        <v>174</v>
      </c>
      <c r="C1171" t="s">
        <v>333</v>
      </c>
      <c r="D1171" t="s">
        <v>62</v>
      </c>
      <c r="E1171" t="s">
        <v>26</v>
      </c>
      <c r="F1171" t="s">
        <v>133</v>
      </c>
      <c r="G1171">
        <v>5</v>
      </c>
      <c r="H1171">
        <v>302</v>
      </c>
      <c r="I1171">
        <v>1510</v>
      </c>
    </row>
    <row r="1172" spans="1:9" x14ac:dyDescent="0.3">
      <c r="A1172">
        <v>1455</v>
      </c>
      <c r="B1172" t="s">
        <v>551</v>
      </c>
      <c r="C1172" t="s">
        <v>301</v>
      </c>
      <c r="D1172" t="s">
        <v>52</v>
      </c>
      <c r="E1172" t="s">
        <v>49</v>
      </c>
      <c r="F1172" t="s">
        <v>128</v>
      </c>
      <c r="G1172">
        <v>3</v>
      </c>
      <c r="H1172">
        <v>3500</v>
      </c>
      <c r="I1172">
        <v>10500</v>
      </c>
    </row>
    <row r="1173" spans="1:9" x14ac:dyDescent="0.3">
      <c r="A1173">
        <v>1080</v>
      </c>
      <c r="B1173" t="s">
        <v>603</v>
      </c>
      <c r="C1173" t="s">
        <v>144</v>
      </c>
      <c r="D1173" t="s">
        <v>35</v>
      </c>
      <c r="E1173" t="s">
        <v>12</v>
      </c>
      <c r="F1173" t="s">
        <v>27</v>
      </c>
      <c r="G1173">
        <v>3</v>
      </c>
      <c r="H1173">
        <v>2590</v>
      </c>
      <c r="I1173">
        <v>7770</v>
      </c>
    </row>
    <row r="1174" spans="1:9" x14ac:dyDescent="0.3">
      <c r="A1174">
        <v>1478</v>
      </c>
      <c r="B1174" t="s">
        <v>595</v>
      </c>
      <c r="C1174" t="s">
        <v>438</v>
      </c>
      <c r="D1174" t="s">
        <v>52</v>
      </c>
      <c r="E1174" t="s">
        <v>100</v>
      </c>
      <c r="F1174" t="s">
        <v>18</v>
      </c>
      <c r="G1174">
        <v>4</v>
      </c>
      <c r="H1174">
        <v>391</v>
      </c>
      <c r="I1174">
        <v>1564</v>
      </c>
    </row>
    <row r="1175" spans="1:9" x14ac:dyDescent="0.3">
      <c r="A1175">
        <v>1502</v>
      </c>
      <c r="B1175" t="s">
        <v>266</v>
      </c>
      <c r="C1175" t="s">
        <v>208</v>
      </c>
      <c r="D1175" t="s">
        <v>25</v>
      </c>
      <c r="E1175" t="s">
        <v>17</v>
      </c>
      <c r="F1175" t="s">
        <v>53</v>
      </c>
      <c r="G1175">
        <v>4</v>
      </c>
      <c r="H1175">
        <v>1988</v>
      </c>
      <c r="I1175">
        <v>7952</v>
      </c>
    </row>
    <row r="1176" spans="1:9" x14ac:dyDescent="0.3">
      <c r="A1176">
        <v>1296</v>
      </c>
      <c r="B1176" t="s">
        <v>364</v>
      </c>
      <c r="C1176" t="s">
        <v>116</v>
      </c>
      <c r="D1176" t="s">
        <v>35</v>
      </c>
      <c r="E1176" t="s">
        <v>140</v>
      </c>
      <c r="F1176" t="s">
        <v>53</v>
      </c>
      <c r="G1176">
        <v>2</v>
      </c>
      <c r="H1176">
        <v>3625</v>
      </c>
      <c r="I1176">
        <v>7250</v>
      </c>
    </row>
    <row r="1177" spans="1:9" x14ac:dyDescent="0.3">
      <c r="A1177">
        <v>1371</v>
      </c>
      <c r="B1177" t="s">
        <v>200</v>
      </c>
      <c r="C1177" t="s">
        <v>121</v>
      </c>
      <c r="D1177" t="s">
        <v>16</v>
      </c>
      <c r="E1177" t="s">
        <v>26</v>
      </c>
      <c r="F1177" t="s">
        <v>133</v>
      </c>
      <c r="G1177">
        <v>4</v>
      </c>
      <c r="H1177">
        <v>4253</v>
      </c>
      <c r="I1177">
        <v>17012</v>
      </c>
    </row>
    <row r="1178" spans="1:9" x14ac:dyDescent="0.3">
      <c r="A1178">
        <v>1460</v>
      </c>
      <c r="B1178" t="s">
        <v>253</v>
      </c>
      <c r="C1178" t="s">
        <v>426</v>
      </c>
      <c r="D1178" t="s">
        <v>42</v>
      </c>
      <c r="E1178" t="s">
        <v>100</v>
      </c>
      <c r="F1178" t="s">
        <v>53</v>
      </c>
      <c r="G1178">
        <v>5</v>
      </c>
      <c r="H1178">
        <v>2936</v>
      </c>
      <c r="I1178">
        <v>14680</v>
      </c>
    </row>
    <row r="1179" spans="1:9" x14ac:dyDescent="0.3">
      <c r="A1179">
        <v>1100</v>
      </c>
      <c r="B1179" t="s">
        <v>566</v>
      </c>
      <c r="C1179" t="s">
        <v>159</v>
      </c>
      <c r="D1179" t="s">
        <v>16</v>
      </c>
      <c r="E1179" t="s">
        <v>45</v>
      </c>
      <c r="F1179" t="s">
        <v>46</v>
      </c>
      <c r="G1179">
        <v>1</v>
      </c>
      <c r="H1179">
        <v>2036</v>
      </c>
      <c r="I1179">
        <v>2036</v>
      </c>
    </row>
    <row r="1180" spans="1:9" x14ac:dyDescent="0.3">
      <c r="A1180">
        <v>1082</v>
      </c>
      <c r="B1180" t="s">
        <v>573</v>
      </c>
      <c r="C1180" t="s">
        <v>414</v>
      </c>
      <c r="D1180" t="s">
        <v>16</v>
      </c>
      <c r="E1180" t="s">
        <v>21</v>
      </c>
      <c r="F1180" t="s">
        <v>124</v>
      </c>
      <c r="G1180">
        <v>2</v>
      </c>
      <c r="H1180">
        <v>4863</v>
      </c>
      <c r="I1180">
        <v>9726</v>
      </c>
    </row>
    <row r="1181" spans="1:9" x14ac:dyDescent="0.3">
      <c r="A1181">
        <v>1379</v>
      </c>
      <c r="B1181" t="s">
        <v>401</v>
      </c>
      <c r="C1181" t="s">
        <v>210</v>
      </c>
      <c r="D1181" t="s">
        <v>11</v>
      </c>
      <c r="E1181" t="s">
        <v>49</v>
      </c>
      <c r="F1181" t="s">
        <v>67</v>
      </c>
      <c r="G1181">
        <v>4</v>
      </c>
      <c r="H1181">
        <v>3223</v>
      </c>
      <c r="I1181">
        <v>12892</v>
      </c>
    </row>
    <row r="1182" spans="1:9" x14ac:dyDescent="0.3">
      <c r="A1182">
        <v>1483</v>
      </c>
      <c r="B1182" t="s">
        <v>435</v>
      </c>
      <c r="C1182" t="s">
        <v>61</v>
      </c>
      <c r="D1182" t="s">
        <v>30</v>
      </c>
      <c r="E1182" t="s">
        <v>39</v>
      </c>
      <c r="F1182" t="s">
        <v>101</v>
      </c>
      <c r="G1182">
        <v>1</v>
      </c>
      <c r="H1182">
        <v>453</v>
      </c>
      <c r="I1182">
        <v>453</v>
      </c>
    </row>
    <row r="1183" spans="1:9" x14ac:dyDescent="0.3">
      <c r="A1183">
        <v>1250</v>
      </c>
      <c r="B1183" t="s">
        <v>300</v>
      </c>
      <c r="C1183" t="s">
        <v>24</v>
      </c>
      <c r="D1183" t="s">
        <v>62</v>
      </c>
      <c r="E1183" t="s">
        <v>49</v>
      </c>
      <c r="F1183" t="s">
        <v>128</v>
      </c>
      <c r="G1183">
        <v>5</v>
      </c>
      <c r="H1183">
        <v>1110</v>
      </c>
      <c r="I1183">
        <v>5550</v>
      </c>
    </row>
    <row r="1184" spans="1:9" x14ac:dyDescent="0.3">
      <c r="A1184">
        <v>1163</v>
      </c>
      <c r="B1184" t="s">
        <v>328</v>
      </c>
      <c r="C1184" t="s">
        <v>301</v>
      </c>
      <c r="D1184" t="s">
        <v>52</v>
      </c>
      <c r="E1184" t="s">
        <v>83</v>
      </c>
      <c r="F1184" t="s">
        <v>32</v>
      </c>
      <c r="G1184">
        <v>5</v>
      </c>
      <c r="H1184">
        <v>4051</v>
      </c>
      <c r="I1184">
        <v>20255</v>
      </c>
    </row>
    <row r="1185" spans="1:9" x14ac:dyDescent="0.3">
      <c r="A1185">
        <v>1427</v>
      </c>
      <c r="B1185" t="s">
        <v>377</v>
      </c>
      <c r="C1185" t="s">
        <v>631</v>
      </c>
      <c r="D1185" t="s">
        <v>62</v>
      </c>
      <c r="E1185" t="s">
        <v>83</v>
      </c>
      <c r="F1185" t="s">
        <v>57</v>
      </c>
      <c r="G1185">
        <v>4</v>
      </c>
      <c r="H1185">
        <v>689</v>
      </c>
      <c r="I1185">
        <v>2756</v>
      </c>
    </row>
    <row r="1186" spans="1:9" x14ac:dyDescent="0.3">
      <c r="A1186">
        <v>1040</v>
      </c>
      <c r="B1186" t="s">
        <v>110</v>
      </c>
      <c r="C1186" t="s">
        <v>634</v>
      </c>
      <c r="D1186" t="s">
        <v>25</v>
      </c>
      <c r="E1186" t="s">
        <v>136</v>
      </c>
      <c r="F1186" t="s">
        <v>46</v>
      </c>
      <c r="G1186">
        <v>2</v>
      </c>
      <c r="H1186">
        <v>2350</v>
      </c>
      <c r="I1186">
        <v>4700</v>
      </c>
    </row>
    <row r="1187" spans="1:9" x14ac:dyDescent="0.3">
      <c r="A1187">
        <v>1114</v>
      </c>
      <c r="B1187" t="s">
        <v>393</v>
      </c>
      <c r="C1187" t="s">
        <v>230</v>
      </c>
      <c r="D1187" t="s">
        <v>16</v>
      </c>
      <c r="E1187" t="s">
        <v>49</v>
      </c>
      <c r="F1187" t="s">
        <v>22</v>
      </c>
      <c r="G1187">
        <v>4</v>
      </c>
      <c r="H1187">
        <v>1921</v>
      </c>
      <c r="I1187">
        <v>7684</v>
      </c>
    </row>
    <row r="1188" spans="1:9" x14ac:dyDescent="0.3">
      <c r="A1188">
        <v>1075</v>
      </c>
      <c r="B1188" t="s">
        <v>96</v>
      </c>
      <c r="C1188" t="s">
        <v>111</v>
      </c>
      <c r="D1188" t="s">
        <v>35</v>
      </c>
      <c r="E1188" t="s">
        <v>21</v>
      </c>
      <c r="F1188" t="s">
        <v>128</v>
      </c>
      <c r="G1188">
        <v>3</v>
      </c>
      <c r="H1188">
        <v>3842</v>
      </c>
      <c r="I1188">
        <v>11526</v>
      </c>
    </row>
    <row r="1189" spans="1:9" x14ac:dyDescent="0.3">
      <c r="A1189">
        <v>1264</v>
      </c>
      <c r="B1189" t="s">
        <v>654</v>
      </c>
      <c r="C1189" t="s">
        <v>177</v>
      </c>
      <c r="D1189" t="s">
        <v>30</v>
      </c>
      <c r="E1189" t="s">
        <v>31</v>
      </c>
      <c r="F1189" t="s">
        <v>93</v>
      </c>
      <c r="G1189">
        <v>1</v>
      </c>
      <c r="H1189">
        <v>2010</v>
      </c>
      <c r="I1189">
        <v>2010</v>
      </c>
    </row>
    <row r="1190" spans="1:9" x14ac:dyDescent="0.3">
      <c r="A1190">
        <v>1298</v>
      </c>
      <c r="B1190" t="s">
        <v>188</v>
      </c>
      <c r="C1190" t="s">
        <v>109</v>
      </c>
      <c r="D1190" t="s">
        <v>62</v>
      </c>
      <c r="E1190" t="s">
        <v>100</v>
      </c>
      <c r="F1190" t="s">
        <v>18</v>
      </c>
      <c r="G1190">
        <v>4</v>
      </c>
      <c r="H1190">
        <v>2615</v>
      </c>
      <c r="I1190">
        <v>10460</v>
      </c>
    </row>
    <row r="1191" spans="1:9" x14ac:dyDescent="0.3">
      <c r="A1191">
        <v>1131</v>
      </c>
      <c r="B1191" t="s">
        <v>343</v>
      </c>
      <c r="C1191" t="s">
        <v>201</v>
      </c>
      <c r="D1191" t="s">
        <v>16</v>
      </c>
      <c r="E1191" t="s">
        <v>36</v>
      </c>
      <c r="F1191" t="s">
        <v>75</v>
      </c>
      <c r="G1191">
        <v>1</v>
      </c>
      <c r="H1191">
        <v>1933</v>
      </c>
      <c r="I1191">
        <v>1933</v>
      </c>
    </row>
    <row r="1192" spans="1:9" x14ac:dyDescent="0.3">
      <c r="A1192">
        <v>1012</v>
      </c>
      <c r="B1192" t="s">
        <v>428</v>
      </c>
      <c r="C1192" t="s">
        <v>230</v>
      </c>
      <c r="D1192" t="s">
        <v>35</v>
      </c>
      <c r="E1192" t="s">
        <v>49</v>
      </c>
      <c r="F1192" t="s">
        <v>46</v>
      </c>
      <c r="G1192">
        <v>2</v>
      </c>
      <c r="H1192">
        <v>4304</v>
      </c>
      <c r="I1192">
        <v>8608</v>
      </c>
    </row>
    <row r="1193" spans="1:9" x14ac:dyDescent="0.3">
      <c r="A1193">
        <v>1496</v>
      </c>
      <c r="B1193" t="s">
        <v>161</v>
      </c>
      <c r="C1193" t="s">
        <v>385</v>
      </c>
      <c r="D1193" t="s">
        <v>52</v>
      </c>
      <c r="E1193" t="s">
        <v>45</v>
      </c>
      <c r="F1193" t="s">
        <v>128</v>
      </c>
      <c r="G1193">
        <v>1</v>
      </c>
      <c r="H1193">
        <v>730</v>
      </c>
      <c r="I1193">
        <v>730</v>
      </c>
    </row>
    <row r="1194" spans="1:9" x14ac:dyDescent="0.3">
      <c r="A1194">
        <v>1229</v>
      </c>
      <c r="B1194" t="s">
        <v>576</v>
      </c>
      <c r="C1194" t="s">
        <v>436</v>
      </c>
      <c r="D1194" t="s">
        <v>62</v>
      </c>
      <c r="E1194" t="s">
        <v>56</v>
      </c>
      <c r="F1194" t="s">
        <v>93</v>
      </c>
      <c r="G1194">
        <v>4</v>
      </c>
      <c r="H1194">
        <v>4864</v>
      </c>
      <c r="I1194">
        <v>19456</v>
      </c>
    </row>
    <row r="1195" spans="1:9" x14ac:dyDescent="0.3">
      <c r="A1195">
        <v>1536</v>
      </c>
      <c r="B1195" t="s">
        <v>644</v>
      </c>
      <c r="C1195" t="s">
        <v>10</v>
      </c>
      <c r="D1195" t="s">
        <v>52</v>
      </c>
      <c r="E1195" t="s">
        <v>17</v>
      </c>
      <c r="F1195" t="s">
        <v>101</v>
      </c>
      <c r="G1195">
        <v>1</v>
      </c>
      <c r="H1195">
        <v>2899</v>
      </c>
      <c r="I1195">
        <v>2899</v>
      </c>
    </row>
    <row r="1196" spans="1:9" x14ac:dyDescent="0.3">
      <c r="A1196">
        <v>1547</v>
      </c>
      <c r="B1196" t="s">
        <v>499</v>
      </c>
      <c r="C1196" t="s">
        <v>212</v>
      </c>
      <c r="D1196" t="s">
        <v>16</v>
      </c>
      <c r="E1196" t="s">
        <v>92</v>
      </c>
      <c r="F1196" t="s">
        <v>32</v>
      </c>
      <c r="G1196">
        <v>2</v>
      </c>
      <c r="H1196">
        <v>2297</v>
      </c>
      <c r="I1196">
        <v>4594</v>
      </c>
    </row>
    <row r="1197" spans="1:9" x14ac:dyDescent="0.3">
      <c r="A1197">
        <v>1250</v>
      </c>
      <c r="B1197" t="s">
        <v>644</v>
      </c>
      <c r="C1197" t="s">
        <v>185</v>
      </c>
      <c r="D1197" t="s">
        <v>30</v>
      </c>
      <c r="E1197" t="s">
        <v>136</v>
      </c>
      <c r="F1197" t="s">
        <v>128</v>
      </c>
      <c r="G1197">
        <v>5</v>
      </c>
      <c r="H1197">
        <v>2473</v>
      </c>
      <c r="I1197">
        <v>12365</v>
      </c>
    </row>
    <row r="1198" spans="1:9" x14ac:dyDescent="0.3">
      <c r="A1198">
        <v>1065</v>
      </c>
      <c r="B1198" t="s">
        <v>606</v>
      </c>
      <c r="C1198" t="s">
        <v>488</v>
      </c>
      <c r="D1198" t="s">
        <v>16</v>
      </c>
      <c r="E1198" t="s">
        <v>12</v>
      </c>
      <c r="F1198" t="s">
        <v>27</v>
      </c>
      <c r="G1198">
        <v>2</v>
      </c>
      <c r="H1198">
        <v>4997</v>
      </c>
      <c r="I1198">
        <v>9994</v>
      </c>
    </row>
    <row r="1199" spans="1:9" x14ac:dyDescent="0.3">
      <c r="A1199">
        <v>1100</v>
      </c>
      <c r="B1199" t="s">
        <v>652</v>
      </c>
      <c r="C1199" t="s">
        <v>99</v>
      </c>
      <c r="D1199" t="s">
        <v>16</v>
      </c>
      <c r="E1199" t="s">
        <v>83</v>
      </c>
      <c r="F1199" t="s">
        <v>112</v>
      </c>
      <c r="G1199">
        <v>4</v>
      </c>
      <c r="H1199">
        <v>1153</v>
      </c>
      <c r="I1199">
        <v>4612</v>
      </c>
    </row>
    <row r="1200" spans="1:9" x14ac:dyDescent="0.3">
      <c r="A1200">
        <v>1102</v>
      </c>
      <c r="B1200" t="s">
        <v>215</v>
      </c>
      <c r="C1200" t="s">
        <v>71</v>
      </c>
      <c r="D1200" t="s">
        <v>30</v>
      </c>
      <c r="E1200" t="s">
        <v>140</v>
      </c>
      <c r="F1200" t="s">
        <v>18</v>
      </c>
      <c r="G1200">
        <v>5</v>
      </c>
      <c r="H1200">
        <v>278</v>
      </c>
      <c r="I1200">
        <v>1390</v>
      </c>
    </row>
    <row r="1201" spans="1:9" x14ac:dyDescent="0.3">
      <c r="A1201">
        <v>1114</v>
      </c>
      <c r="B1201" t="s">
        <v>349</v>
      </c>
      <c r="C1201" t="s">
        <v>241</v>
      </c>
      <c r="D1201" t="s">
        <v>42</v>
      </c>
      <c r="E1201" t="s">
        <v>140</v>
      </c>
      <c r="F1201" t="s">
        <v>18</v>
      </c>
      <c r="G1201">
        <v>3</v>
      </c>
      <c r="H1201">
        <v>3535</v>
      </c>
      <c r="I1201">
        <v>10605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81254-B3D6-4A0C-BEA3-F804D23C37DE}">
  <dimension ref="A1:J1201"/>
  <sheetViews>
    <sheetView zoomScale="120" zoomScaleNormal="120" workbookViewId="0">
      <selection activeCell="B6" sqref="B6"/>
    </sheetView>
  </sheetViews>
  <sheetFormatPr defaultRowHeight="14.4" x14ac:dyDescent="0.3"/>
  <cols>
    <col min="1" max="1" width="13" bestFit="1" customWidth="1"/>
    <col min="2" max="2" width="15.109375" bestFit="1" customWidth="1"/>
    <col min="3" max="3" width="16.33203125" bestFit="1" customWidth="1"/>
    <col min="4" max="4" width="11.21875" bestFit="1" customWidth="1"/>
    <col min="5" max="5" width="12.21875" bestFit="1" customWidth="1"/>
    <col min="6" max="7" width="12.77734375" bestFit="1" customWidth="1"/>
    <col min="8" max="8" width="9.88671875" customWidth="1"/>
    <col min="9" max="10" width="12.77734375" bestFit="1" customWidth="1"/>
  </cols>
  <sheetData>
    <row r="1" spans="1:10" x14ac:dyDescent="0.3">
      <c r="A1" s="1" t="s">
        <v>0</v>
      </c>
      <c r="B1" s="1" t="s">
        <v>1</v>
      </c>
      <c r="C1" s="2" t="s">
        <v>658</v>
      </c>
      <c r="D1" s="1" t="s">
        <v>2</v>
      </c>
      <c r="E1" s="1" t="s">
        <v>3</v>
      </c>
      <c r="F1" s="1" t="s">
        <v>4</v>
      </c>
      <c r="G1" s="1" t="s">
        <v>5</v>
      </c>
      <c r="H1" s="1" t="s">
        <v>6</v>
      </c>
      <c r="I1" s="1" t="s">
        <v>7</v>
      </c>
      <c r="J1" s="1" t="s">
        <v>8</v>
      </c>
    </row>
    <row r="2" spans="1:10" x14ac:dyDescent="0.3">
      <c r="A2">
        <v>1114</v>
      </c>
      <c r="B2" t="s">
        <v>9</v>
      </c>
      <c r="C2" t="str">
        <f>TEXT(Sales[[#This Row],[Order_Date]],"mmm")</f>
        <v>Jan</v>
      </c>
      <c r="D2" t="s">
        <v>10</v>
      </c>
      <c r="E2" t="s">
        <v>11</v>
      </c>
      <c r="F2" t="s">
        <v>89</v>
      </c>
      <c r="G2" t="s">
        <v>13</v>
      </c>
      <c r="H2">
        <v>1</v>
      </c>
      <c r="I2">
        <v>4667</v>
      </c>
      <c r="J2">
        <v>4667</v>
      </c>
    </row>
    <row r="3" spans="1:10" x14ac:dyDescent="0.3">
      <c r="A3">
        <v>1030</v>
      </c>
      <c r="B3" t="s">
        <v>14</v>
      </c>
      <c r="C3" t="str">
        <f>TEXT(Sales[[#This Row],[Order_Date]],"mmm")</f>
        <v>Feb</v>
      </c>
      <c r="D3" t="s">
        <v>15</v>
      </c>
      <c r="E3" t="s">
        <v>16</v>
      </c>
      <c r="F3" t="s">
        <v>17</v>
      </c>
      <c r="G3" t="s">
        <v>18</v>
      </c>
      <c r="H3">
        <v>5</v>
      </c>
      <c r="I3">
        <v>3636</v>
      </c>
      <c r="J3">
        <v>18180</v>
      </c>
    </row>
    <row r="4" spans="1:10" x14ac:dyDescent="0.3">
      <c r="A4">
        <v>1006</v>
      </c>
      <c r="B4" t="s">
        <v>19</v>
      </c>
      <c r="C4" t="str">
        <f>TEXT(Sales[[#This Row],[Order_Date]],"mmm")</f>
        <v>Mar</v>
      </c>
      <c r="D4" t="s">
        <v>20</v>
      </c>
      <c r="E4" t="s">
        <v>11</v>
      </c>
      <c r="F4" t="s">
        <v>136</v>
      </c>
      <c r="G4" t="s">
        <v>22</v>
      </c>
      <c r="H4">
        <v>2</v>
      </c>
      <c r="I4">
        <v>2957</v>
      </c>
      <c r="J4">
        <v>5914</v>
      </c>
    </row>
    <row r="5" spans="1:10" x14ac:dyDescent="0.3">
      <c r="A5">
        <v>1367</v>
      </c>
      <c r="B5" t="s">
        <v>23</v>
      </c>
      <c r="C5" t="str">
        <f>TEXT(Sales[[#This Row],[Order_Date]],"mmm")</f>
        <v>Jun</v>
      </c>
      <c r="D5" t="s">
        <v>24</v>
      </c>
      <c r="E5" t="s">
        <v>25</v>
      </c>
      <c r="F5" t="s">
        <v>89</v>
      </c>
      <c r="G5" t="s">
        <v>27</v>
      </c>
      <c r="H5">
        <v>4</v>
      </c>
      <c r="I5">
        <v>845</v>
      </c>
      <c r="J5">
        <v>3380</v>
      </c>
    </row>
    <row r="6" spans="1:10" x14ac:dyDescent="0.3">
      <c r="A6">
        <v>1370</v>
      </c>
      <c r="B6" t="s">
        <v>28</v>
      </c>
      <c r="C6" t="str">
        <f>TEXT(Sales[[#This Row],[Order_Date]],"mmm")</f>
        <v>Oct</v>
      </c>
      <c r="D6" t="s">
        <v>29</v>
      </c>
      <c r="E6" t="s">
        <v>42</v>
      </c>
      <c r="F6" t="s">
        <v>83</v>
      </c>
      <c r="G6" t="s">
        <v>32</v>
      </c>
      <c r="H6">
        <v>1</v>
      </c>
      <c r="I6">
        <v>2107</v>
      </c>
      <c r="J6">
        <v>2107</v>
      </c>
    </row>
    <row r="7" spans="1:10" x14ac:dyDescent="0.3">
      <c r="A7">
        <v>1464</v>
      </c>
      <c r="B7" t="s">
        <v>33</v>
      </c>
      <c r="C7" t="str">
        <f>TEXT(Sales[[#This Row],[Order_Date]],"mmm")</f>
        <v>Nov</v>
      </c>
      <c r="D7" t="s">
        <v>34</v>
      </c>
      <c r="E7" t="s">
        <v>25</v>
      </c>
      <c r="F7" t="s">
        <v>89</v>
      </c>
      <c r="G7" t="s">
        <v>13</v>
      </c>
      <c r="H7">
        <v>2</v>
      </c>
      <c r="I7">
        <v>2387</v>
      </c>
      <c r="J7">
        <v>4774</v>
      </c>
    </row>
    <row r="8" spans="1:10" x14ac:dyDescent="0.3">
      <c r="A8">
        <v>1073</v>
      </c>
      <c r="B8" t="s">
        <v>37</v>
      </c>
      <c r="C8" t="str">
        <f>TEXT(Sales[[#This Row],[Order_Date]],"mmm")</f>
        <v>Nov</v>
      </c>
      <c r="D8" t="s">
        <v>38</v>
      </c>
      <c r="E8" t="s">
        <v>11</v>
      </c>
      <c r="F8" t="s">
        <v>17</v>
      </c>
      <c r="G8" t="s">
        <v>18</v>
      </c>
      <c r="H8">
        <v>4</v>
      </c>
      <c r="I8">
        <v>3308</v>
      </c>
      <c r="J8">
        <v>13232</v>
      </c>
    </row>
    <row r="9" spans="1:10" x14ac:dyDescent="0.3">
      <c r="A9">
        <v>1570</v>
      </c>
      <c r="B9" t="s">
        <v>40</v>
      </c>
      <c r="C9" t="str">
        <f>TEXT(Sales[[#This Row],[Order_Date]],"mmm")</f>
        <v>Apr</v>
      </c>
      <c r="D9" t="s">
        <v>41</v>
      </c>
      <c r="E9" t="s">
        <v>42</v>
      </c>
      <c r="F9" t="s">
        <v>89</v>
      </c>
      <c r="G9" t="s">
        <v>27</v>
      </c>
      <c r="H9">
        <v>3</v>
      </c>
      <c r="I9">
        <v>3486</v>
      </c>
      <c r="J9">
        <v>10458</v>
      </c>
    </row>
    <row r="10" spans="1:10" x14ac:dyDescent="0.3">
      <c r="A10">
        <v>1580</v>
      </c>
      <c r="B10" t="s">
        <v>43</v>
      </c>
      <c r="C10" t="str">
        <f>TEXT(Sales[[#This Row],[Order_Date]],"mmm")</f>
        <v>Jun</v>
      </c>
      <c r="D10" t="s">
        <v>44</v>
      </c>
      <c r="E10" t="s">
        <v>11</v>
      </c>
      <c r="F10" t="s">
        <v>136</v>
      </c>
      <c r="G10" t="s">
        <v>46</v>
      </c>
      <c r="H10">
        <v>3</v>
      </c>
      <c r="I10">
        <v>1343</v>
      </c>
      <c r="J10">
        <v>4029</v>
      </c>
    </row>
    <row r="11" spans="1:10" x14ac:dyDescent="0.3">
      <c r="A11">
        <v>1269</v>
      </c>
      <c r="B11" t="s">
        <v>47</v>
      </c>
      <c r="C11" t="str">
        <f>TEXT(Sales[[#This Row],[Order_Date]],"mmm")</f>
        <v>Oct</v>
      </c>
      <c r="D11" t="s">
        <v>48</v>
      </c>
      <c r="E11" t="s">
        <v>11</v>
      </c>
      <c r="F11" t="s">
        <v>136</v>
      </c>
      <c r="G11" t="s">
        <v>22</v>
      </c>
      <c r="H11">
        <v>5</v>
      </c>
      <c r="I11">
        <v>4242</v>
      </c>
      <c r="J11">
        <v>21210</v>
      </c>
    </row>
    <row r="12" spans="1:10" x14ac:dyDescent="0.3">
      <c r="A12">
        <v>1112</v>
      </c>
      <c r="B12" t="s">
        <v>50</v>
      </c>
      <c r="C12" t="str">
        <f>TEXT(Sales[[#This Row],[Order_Date]],"mmm")</f>
        <v>Mar</v>
      </c>
      <c r="D12" t="s">
        <v>51</v>
      </c>
      <c r="E12" t="s">
        <v>11</v>
      </c>
      <c r="F12" t="s">
        <v>17</v>
      </c>
      <c r="G12" t="s">
        <v>53</v>
      </c>
      <c r="H12">
        <v>4</v>
      </c>
      <c r="I12">
        <v>4034</v>
      </c>
      <c r="J12">
        <v>16136</v>
      </c>
    </row>
    <row r="13" spans="1:10" x14ac:dyDescent="0.3">
      <c r="A13">
        <v>1011</v>
      </c>
      <c r="B13" t="s">
        <v>54</v>
      </c>
      <c r="C13" t="str">
        <f>TEXT(Sales[[#This Row],[Order_Date]],"mmm")</f>
        <v>Dec</v>
      </c>
      <c r="D13" t="s">
        <v>55</v>
      </c>
      <c r="E13" t="s">
        <v>25</v>
      </c>
      <c r="F13" t="s">
        <v>83</v>
      </c>
      <c r="G13" t="s">
        <v>57</v>
      </c>
      <c r="H13">
        <v>1</v>
      </c>
      <c r="I13">
        <v>2604</v>
      </c>
      <c r="J13">
        <v>2604</v>
      </c>
    </row>
    <row r="14" spans="1:10" x14ac:dyDescent="0.3">
      <c r="A14">
        <v>1269</v>
      </c>
      <c r="B14" t="s">
        <v>58</v>
      </c>
      <c r="C14" t="str">
        <f>TEXT(Sales[[#This Row],[Order_Date]],"mmm")</f>
        <v>Sep</v>
      </c>
      <c r="D14" t="s">
        <v>59</v>
      </c>
      <c r="E14" t="s">
        <v>42</v>
      </c>
      <c r="F14" t="s">
        <v>17</v>
      </c>
      <c r="G14" t="s">
        <v>18</v>
      </c>
      <c r="H14">
        <v>5</v>
      </c>
      <c r="I14">
        <v>1829</v>
      </c>
      <c r="J14">
        <v>9145</v>
      </c>
    </row>
    <row r="15" spans="1:10" x14ac:dyDescent="0.3">
      <c r="A15">
        <v>1552</v>
      </c>
      <c r="B15" t="s">
        <v>60</v>
      </c>
      <c r="C15" t="str">
        <f>TEXT(Sales[[#This Row],[Order_Date]],"mmm")</f>
        <v>Sep</v>
      </c>
      <c r="D15" t="s">
        <v>61</v>
      </c>
      <c r="E15" t="s">
        <v>16</v>
      </c>
      <c r="F15" t="s">
        <v>83</v>
      </c>
      <c r="G15" t="s">
        <v>57</v>
      </c>
      <c r="H15">
        <v>1</v>
      </c>
      <c r="I15">
        <v>1116</v>
      </c>
      <c r="J15">
        <v>1116</v>
      </c>
    </row>
    <row r="16" spans="1:10" x14ac:dyDescent="0.3">
      <c r="A16">
        <v>1314</v>
      </c>
      <c r="B16" t="s">
        <v>63</v>
      </c>
      <c r="C16" t="str">
        <f>TEXT(Sales[[#This Row],[Order_Date]],"mmm")</f>
        <v>May</v>
      </c>
      <c r="D16" t="s">
        <v>64</v>
      </c>
      <c r="E16" t="s">
        <v>25</v>
      </c>
      <c r="F16" t="s">
        <v>17</v>
      </c>
      <c r="G16" t="s">
        <v>18</v>
      </c>
      <c r="H16">
        <v>4</v>
      </c>
      <c r="I16">
        <v>766</v>
      </c>
      <c r="J16">
        <v>3064</v>
      </c>
    </row>
    <row r="17" spans="1:10" x14ac:dyDescent="0.3">
      <c r="A17">
        <v>1128</v>
      </c>
      <c r="B17" t="s">
        <v>65</v>
      </c>
      <c r="C17" t="str">
        <f>TEXT(Sales[[#This Row],[Order_Date]],"mmm")</f>
        <v>Mar</v>
      </c>
      <c r="D17" t="s">
        <v>66</v>
      </c>
      <c r="E17" t="s">
        <v>42</v>
      </c>
      <c r="F17" t="s">
        <v>136</v>
      </c>
      <c r="G17" t="s">
        <v>67</v>
      </c>
      <c r="H17">
        <v>5</v>
      </c>
      <c r="I17">
        <v>3666</v>
      </c>
      <c r="J17">
        <v>18330</v>
      </c>
    </row>
    <row r="18" spans="1:10" x14ac:dyDescent="0.3">
      <c r="A18">
        <v>1205</v>
      </c>
      <c r="B18" t="s">
        <v>68</v>
      </c>
      <c r="C18" t="str">
        <f>TEXT(Sales[[#This Row],[Order_Date]],"mmm")</f>
        <v>Dec</v>
      </c>
      <c r="D18" t="s">
        <v>69</v>
      </c>
      <c r="E18" t="s">
        <v>16</v>
      </c>
      <c r="F18" t="s">
        <v>136</v>
      </c>
      <c r="G18" t="s">
        <v>22</v>
      </c>
      <c r="H18">
        <v>1</v>
      </c>
      <c r="I18">
        <v>2230</v>
      </c>
      <c r="J18">
        <v>2230</v>
      </c>
    </row>
    <row r="19" spans="1:10" x14ac:dyDescent="0.3">
      <c r="A19">
        <v>1567</v>
      </c>
      <c r="B19" t="s">
        <v>70</v>
      </c>
      <c r="C19" t="str">
        <f>TEXT(Sales[[#This Row],[Order_Date]],"mmm")</f>
        <v>Apr</v>
      </c>
      <c r="D19" t="s">
        <v>71</v>
      </c>
      <c r="E19" t="s">
        <v>42</v>
      </c>
      <c r="F19" t="s">
        <v>17</v>
      </c>
      <c r="G19" t="s">
        <v>72</v>
      </c>
      <c r="H19">
        <v>2</v>
      </c>
      <c r="I19">
        <v>752</v>
      </c>
      <c r="J19">
        <v>1504</v>
      </c>
    </row>
    <row r="20" spans="1:10" x14ac:dyDescent="0.3">
      <c r="A20">
        <v>1072</v>
      </c>
      <c r="B20" t="s">
        <v>73</v>
      </c>
      <c r="C20" t="str">
        <f>TEXT(Sales[[#This Row],[Order_Date]],"mmm")</f>
        <v>Sep</v>
      </c>
      <c r="D20" t="s">
        <v>74</v>
      </c>
      <c r="E20" t="s">
        <v>11</v>
      </c>
      <c r="F20" t="s">
        <v>89</v>
      </c>
      <c r="G20" t="s">
        <v>75</v>
      </c>
      <c r="H20">
        <v>5</v>
      </c>
      <c r="I20">
        <v>4920</v>
      </c>
      <c r="J20">
        <v>24600</v>
      </c>
    </row>
    <row r="21" spans="1:10" x14ac:dyDescent="0.3">
      <c r="A21">
        <v>1416</v>
      </c>
      <c r="B21" t="s">
        <v>76</v>
      </c>
      <c r="C21" t="str">
        <f>TEXT(Sales[[#This Row],[Order_Date]],"mmm")</f>
        <v>Apr</v>
      </c>
      <c r="D21" t="s">
        <v>77</v>
      </c>
      <c r="E21" t="s">
        <v>11</v>
      </c>
      <c r="F21" t="s">
        <v>83</v>
      </c>
      <c r="G21" t="s">
        <v>78</v>
      </c>
      <c r="H21">
        <v>4</v>
      </c>
      <c r="I21">
        <v>4025</v>
      </c>
      <c r="J21">
        <v>16100</v>
      </c>
    </row>
    <row r="22" spans="1:10" x14ac:dyDescent="0.3">
      <c r="A22">
        <v>1100</v>
      </c>
      <c r="B22" t="s">
        <v>79</v>
      </c>
      <c r="C22" t="str">
        <f>TEXT(Sales[[#This Row],[Order_Date]],"mmm")</f>
        <v>Feb</v>
      </c>
      <c r="D22" t="s">
        <v>80</v>
      </c>
      <c r="E22" t="s">
        <v>16</v>
      </c>
      <c r="F22" t="s">
        <v>89</v>
      </c>
      <c r="G22" t="s">
        <v>27</v>
      </c>
      <c r="H22">
        <v>2</v>
      </c>
      <c r="I22">
        <v>4593</v>
      </c>
      <c r="J22">
        <v>9186</v>
      </c>
    </row>
    <row r="23" spans="1:10" x14ac:dyDescent="0.3">
      <c r="A23">
        <v>1285</v>
      </c>
      <c r="B23" t="s">
        <v>81</v>
      </c>
      <c r="C23" t="str">
        <f>TEXT(Sales[[#This Row],[Order_Date]],"mmm")</f>
        <v>Aug</v>
      </c>
      <c r="D23" t="s">
        <v>82</v>
      </c>
      <c r="E23" t="s">
        <v>42</v>
      </c>
      <c r="F23" t="s">
        <v>83</v>
      </c>
      <c r="G23" t="s">
        <v>78</v>
      </c>
      <c r="H23">
        <v>5</v>
      </c>
      <c r="I23">
        <v>320</v>
      </c>
      <c r="J23">
        <v>1600</v>
      </c>
    </row>
    <row r="24" spans="1:10" x14ac:dyDescent="0.3">
      <c r="A24">
        <v>1242</v>
      </c>
      <c r="B24" t="s">
        <v>84</v>
      </c>
      <c r="C24" t="str">
        <f>TEXT(Sales[[#This Row],[Order_Date]],"mmm")</f>
        <v>Mar</v>
      </c>
      <c r="D24" t="s">
        <v>85</v>
      </c>
      <c r="E24" t="s">
        <v>11</v>
      </c>
      <c r="F24" t="s">
        <v>136</v>
      </c>
      <c r="G24" t="s">
        <v>46</v>
      </c>
      <c r="H24">
        <v>1</v>
      </c>
      <c r="I24">
        <v>1548</v>
      </c>
      <c r="J24">
        <v>1548</v>
      </c>
    </row>
    <row r="25" spans="1:10" x14ac:dyDescent="0.3">
      <c r="A25">
        <v>1271</v>
      </c>
      <c r="B25" t="s">
        <v>86</v>
      </c>
      <c r="C25" t="str">
        <f>TEXT(Sales[[#This Row],[Order_Date]],"mmm")</f>
        <v>Aug</v>
      </c>
      <c r="D25" t="s">
        <v>87</v>
      </c>
      <c r="E25" t="s">
        <v>11</v>
      </c>
      <c r="F25" t="s">
        <v>136</v>
      </c>
      <c r="G25" t="s">
        <v>67</v>
      </c>
      <c r="H25">
        <v>2</v>
      </c>
      <c r="I25">
        <v>2630</v>
      </c>
      <c r="J25">
        <v>5260</v>
      </c>
    </row>
    <row r="26" spans="1:10" x14ac:dyDescent="0.3">
      <c r="A26">
        <v>1555</v>
      </c>
      <c r="B26" t="s">
        <v>79</v>
      </c>
      <c r="C26" t="str">
        <f>TEXT(Sales[[#This Row],[Order_Date]],"mmm")</f>
        <v>Feb</v>
      </c>
      <c r="D26" t="s">
        <v>88</v>
      </c>
      <c r="E26" t="s">
        <v>16</v>
      </c>
      <c r="F26" t="s">
        <v>89</v>
      </c>
      <c r="G26" t="s">
        <v>27</v>
      </c>
      <c r="H26">
        <v>5</v>
      </c>
      <c r="I26">
        <v>4550</v>
      </c>
      <c r="J26">
        <v>22750</v>
      </c>
    </row>
    <row r="27" spans="1:10" x14ac:dyDescent="0.3">
      <c r="A27">
        <v>1082</v>
      </c>
      <c r="B27" t="s">
        <v>90</v>
      </c>
      <c r="C27" t="str">
        <f>TEXT(Sales[[#This Row],[Order_Date]],"mmm")</f>
        <v>Apr</v>
      </c>
      <c r="D27" t="s">
        <v>91</v>
      </c>
      <c r="E27" t="s">
        <v>25</v>
      </c>
      <c r="F27" t="s">
        <v>83</v>
      </c>
      <c r="G27" t="s">
        <v>93</v>
      </c>
      <c r="H27">
        <v>5</v>
      </c>
      <c r="I27">
        <v>2216</v>
      </c>
      <c r="J27">
        <v>11080</v>
      </c>
    </row>
    <row r="28" spans="1:10" x14ac:dyDescent="0.3">
      <c r="A28">
        <v>1083</v>
      </c>
      <c r="B28" t="s">
        <v>94</v>
      </c>
      <c r="C28" t="str">
        <f>TEXT(Sales[[#This Row],[Order_Date]],"mmm")</f>
        <v>Aug</v>
      </c>
      <c r="D28" t="s">
        <v>66</v>
      </c>
      <c r="E28" t="s">
        <v>25</v>
      </c>
      <c r="F28" t="s">
        <v>89</v>
      </c>
      <c r="G28" t="s">
        <v>95</v>
      </c>
      <c r="H28">
        <v>2</v>
      </c>
      <c r="I28">
        <v>2375</v>
      </c>
      <c r="J28">
        <v>4750</v>
      </c>
    </row>
    <row r="29" spans="1:10" x14ac:dyDescent="0.3">
      <c r="A29">
        <v>1307</v>
      </c>
      <c r="B29" t="s">
        <v>96</v>
      </c>
      <c r="C29" t="str">
        <f>TEXT(Sales[[#This Row],[Order_Date]],"mmm")</f>
        <v>Aug</v>
      </c>
      <c r="D29" t="s">
        <v>97</v>
      </c>
      <c r="E29" t="s">
        <v>25</v>
      </c>
      <c r="F29" t="s">
        <v>83</v>
      </c>
      <c r="G29" t="s">
        <v>32</v>
      </c>
      <c r="H29">
        <v>1</v>
      </c>
      <c r="I29">
        <v>4604</v>
      </c>
      <c r="J29">
        <v>4604</v>
      </c>
    </row>
    <row r="30" spans="1:10" x14ac:dyDescent="0.3">
      <c r="A30">
        <v>1357</v>
      </c>
      <c r="B30" t="s">
        <v>98</v>
      </c>
      <c r="C30" t="str">
        <f>TEXT(Sales[[#This Row],[Order_Date]],"mmm")</f>
        <v>Feb</v>
      </c>
      <c r="D30" t="s">
        <v>99</v>
      </c>
      <c r="E30" t="s">
        <v>11</v>
      </c>
      <c r="F30" t="s">
        <v>17</v>
      </c>
      <c r="G30" t="s">
        <v>101</v>
      </c>
      <c r="H30">
        <v>4</v>
      </c>
      <c r="I30">
        <v>4650</v>
      </c>
      <c r="J30">
        <v>18600</v>
      </c>
    </row>
    <row r="31" spans="1:10" x14ac:dyDescent="0.3">
      <c r="A31">
        <v>1541</v>
      </c>
      <c r="B31" t="s">
        <v>102</v>
      </c>
      <c r="C31" t="str">
        <f>TEXT(Sales[[#This Row],[Order_Date]],"mmm")</f>
        <v>Jan</v>
      </c>
      <c r="D31" t="s">
        <v>103</v>
      </c>
      <c r="E31" t="s">
        <v>42</v>
      </c>
      <c r="F31" t="s">
        <v>89</v>
      </c>
      <c r="G31" t="s">
        <v>27</v>
      </c>
      <c r="H31">
        <v>1</v>
      </c>
      <c r="I31">
        <v>1076</v>
      </c>
      <c r="J31">
        <v>1076</v>
      </c>
    </row>
    <row r="32" spans="1:10" x14ac:dyDescent="0.3">
      <c r="A32">
        <v>1288</v>
      </c>
      <c r="B32" t="s">
        <v>104</v>
      </c>
      <c r="C32" t="str">
        <f>TEXT(Sales[[#This Row],[Order_Date]],"mmm")</f>
        <v>Nov</v>
      </c>
      <c r="D32" t="s">
        <v>105</v>
      </c>
      <c r="E32" t="s">
        <v>16</v>
      </c>
      <c r="F32" t="s">
        <v>89</v>
      </c>
      <c r="G32" t="s">
        <v>13</v>
      </c>
      <c r="H32">
        <v>3</v>
      </c>
      <c r="I32">
        <v>616</v>
      </c>
      <c r="J32">
        <v>1848</v>
      </c>
    </row>
    <row r="33" spans="1:10" x14ac:dyDescent="0.3">
      <c r="A33">
        <v>1283</v>
      </c>
      <c r="B33" t="s">
        <v>106</v>
      </c>
      <c r="C33" t="str">
        <f>TEXT(Sales[[#This Row],[Order_Date]],"mmm")</f>
        <v>Jan</v>
      </c>
      <c r="D33" t="s">
        <v>107</v>
      </c>
      <c r="E33" t="s">
        <v>11</v>
      </c>
      <c r="F33" t="s">
        <v>89</v>
      </c>
      <c r="G33" t="s">
        <v>13</v>
      </c>
      <c r="H33">
        <v>4</v>
      </c>
      <c r="I33">
        <v>4719</v>
      </c>
      <c r="J33">
        <v>18876</v>
      </c>
    </row>
    <row r="34" spans="1:10" x14ac:dyDescent="0.3">
      <c r="A34">
        <v>1114</v>
      </c>
      <c r="B34" t="s">
        <v>108</v>
      </c>
      <c r="C34" t="str">
        <f>TEXT(Sales[[#This Row],[Order_Date]],"mmm")</f>
        <v>Feb</v>
      </c>
      <c r="D34" t="s">
        <v>109</v>
      </c>
      <c r="E34" t="s">
        <v>25</v>
      </c>
      <c r="F34" t="s">
        <v>17</v>
      </c>
      <c r="G34" t="s">
        <v>18</v>
      </c>
      <c r="H34">
        <v>5</v>
      </c>
      <c r="I34">
        <v>4726</v>
      </c>
      <c r="J34">
        <v>23630</v>
      </c>
    </row>
    <row r="35" spans="1:10" x14ac:dyDescent="0.3">
      <c r="A35">
        <v>1315</v>
      </c>
      <c r="B35" t="s">
        <v>110</v>
      </c>
      <c r="C35" t="str">
        <f>TEXT(Sales[[#This Row],[Order_Date]],"mmm")</f>
        <v>Jul</v>
      </c>
      <c r="D35" t="s">
        <v>111</v>
      </c>
      <c r="E35" t="s">
        <v>16</v>
      </c>
      <c r="F35" t="s">
        <v>83</v>
      </c>
      <c r="G35" t="s">
        <v>112</v>
      </c>
      <c r="H35">
        <v>1</v>
      </c>
      <c r="I35">
        <v>3097</v>
      </c>
      <c r="J35">
        <v>3097</v>
      </c>
    </row>
    <row r="36" spans="1:10" x14ac:dyDescent="0.3">
      <c r="A36">
        <v>1416</v>
      </c>
      <c r="B36" t="s">
        <v>113</v>
      </c>
      <c r="C36" t="str">
        <f>TEXT(Sales[[#This Row],[Order_Date]],"mmm")</f>
        <v>Nov</v>
      </c>
      <c r="D36" t="s">
        <v>88</v>
      </c>
      <c r="E36" t="s">
        <v>11</v>
      </c>
      <c r="F36" t="s">
        <v>17</v>
      </c>
      <c r="G36" t="s">
        <v>114</v>
      </c>
      <c r="H36">
        <v>4</v>
      </c>
      <c r="I36">
        <v>403</v>
      </c>
      <c r="J36">
        <v>1612</v>
      </c>
    </row>
    <row r="37" spans="1:10" x14ac:dyDescent="0.3">
      <c r="A37">
        <v>1421</v>
      </c>
      <c r="B37" t="s">
        <v>115</v>
      </c>
      <c r="C37" t="str">
        <f>TEXT(Sales[[#This Row],[Order_Date]],"mmm")</f>
        <v>Dec</v>
      </c>
      <c r="D37" t="s">
        <v>116</v>
      </c>
      <c r="E37" t="s">
        <v>25</v>
      </c>
      <c r="F37" t="s">
        <v>17</v>
      </c>
      <c r="G37" t="s">
        <v>101</v>
      </c>
      <c r="H37">
        <v>4</v>
      </c>
      <c r="I37">
        <v>517</v>
      </c>
      <c r="J37">
        <v>2068</v>
      </c>
    </row>
    <row r="38" spans="1:10" x14ac:dyDescent="0.3">
      <c r="A38">
        <v>1471</v>
      </c>
      <c r="B38" t="s">
        <v>117</v>
      </c>
      <c r="C38" t="str">
        <f>TEXT(Sales[[#This Row],[Order_Date]],"mmm")</f>
        <v>Jun</v>
      </c>
      <c r="D38" t="s">
        <v>118</v>
      </c>
      <c r="E38" t="s">
        <v>16</v>
      </c>
      <c r="F38" t="s">
        <v>17</v>
      </c>
      <c r="G38" t="s">
        <v>114</v>
      </c>
      <c r="H38">
        <v>4</v>
      </c>
      <c r="I38">
        <v>2889</v>
      </c>
      <c r="J38">
        <v>11556</v>
      </c>
    </row>
    <row r="39" spans="1:10" x14ac:dyDescent="0.3">
      <c r="A39">
        <v>1285</v>
      </c>
      <c r="B39" t="s">
        <v>117</v>
      </c>
      <c r="C39" t="str">
        <f>TEXT(Sales[[#This Row],[Order_Date]],"mmm")</f>
        <v>Jun</v>
      </c>
      <c r="D39" t="s">
        <v>119</v>
      </c>
      <c r="E39" t="s">
        <v>42</v>
      </c>
      <c r="F39" t="s">
        <v>136</v>
      </c>
      <c r="G39" t="s">
        <v>67</v>
      </c>
      <c r="H39">
        <v>1</v>
      </c>
      <c r="I39">
        <v>2339</v>
      </c>
      <c r="J39">
        <v>2339</v>
      </c>
    </row>
    <row r="40" spans="1:10" x14ac:dyDescent="0.3">
      <c r="A40">
        <v>1271</v>
      </c>
      <c r="B40" t="s">
        <v>120</v>
      </c>
      <c r="C40" t="str">
        <f>TEXT(Sales[[#This Row],[Order_Date]],"mmm")</f>
        <v>Jan</v>
      </c>
      <c r="D40" t="s">
        <v>121</v>
      </c>
      <c r="E40" t="s">
        <v>11</v>
      </c>
      <c r="F40" t="s">
        <v>136</v>
      </c>
      <c r="G40" t="s">
        <v>22</v>
      </c>
      <c r="H40">
        <v>5</v>
      </c>
      <c r="I40">
        <v>4389</v>
      </c>
      <c r="J40">
        <v>21945</v>
      </c>
    </row>
    <row r="41" spans="1:10" x14ac:dyDescent="0.3">
      <c r="A41">
        <v>1194</v>
      </c>
      <c r="B41" t="s">
        <v>122</v>
      </c>
      <c r="C41" t="str">
        <f>TEXT(Sales[[#This Row],[Order_Date]],"mmm")</f>
        <v>May</v>
      </c>
      <c r="D41" t="s">
        <v>123</v>
      </c>
      <c r="E41" t="s">
        <v>25</v>
      </c>
      <c r="F41" t="s">
        <v>136</v>
      </c>
      <c r="G41" t="s">
        <v>124</v>
      </c>
      <c r="H41">
        <v>4</v>
      </c>
      <c r="I41">
        <v>773</v>
      </c>
      <c r="J41">
        <v>3092</v>
      </c>
    </row>
    <row r="42" spans="1:10" x14ac:dyDescent="0.3">
      <c r="A42">
        <v>1321</v>
      </c>
      <c r="B42" t="s">
        <v>125</v>
      </c>
      <c r="C42" t="str">
        <f>TEXT(Sales[[#This Row],[Order_Date]],"mmm")</f>
        <v>Dec</v>
      </c>
      <c r="D42" t="s">
        <v>126</v>
      </c>
      <c r="E42" t="s">
        <v>11</v>
      </c>
      <c r="F42" t="s">
        <v>83</v>
      </c>
      <c r="G42" t="s">
        <v>112</v>
      </c>
      <c r="H42">
        <v>3</v>
      </c>
      <c r="I42">
        <v>3496</v>
      </c>
      <c r="J42">
        <v>10488</v>
      </c>
    </row>
    <row r="43" spans="1:10" x14ac:dyDescent="0.3">
      <c r="A43">
        <v>1196</v>
      </c>
      <c r="B43" t="s">
        <v>127</v>
      </c>
      <c r="C43" t="str">
        <f>TEXT(Sales[[#This Row],[Order_Date]],"mmm")</f>
        <v>Aug</v>
      </c>
      <c r="D43" t="s">
        <v>103</v>
      </c>
      <c r="E43" t="s">
        <v>11</v>
      </c>
      <c r="F43" t="s">
        <v>136</v>
      </c>
      <c r="G43" t="s">
        <v>128</v>
      </c>
      <c r="H43">
        <v>5</v>
      </c>
      <c r="I43">
        <v>203</v>
      </c>
      <c r="J43">
        <v>1015</v>
      </c>
    </row>
    <row r="44" spans="1:10" x14ac:dyDescent="0.3">
      <c r="A44">
        <v>1593</v>
      </c>
      <c r="B44" t="s">
        <v>129</v>
      </c>
      <c r="C44" t="str">
        <f>TEXT(Sales[[#This Row],[Order_Date]],"mmm")</f>
        <v>Nov</v>
      </c>
      <c r="D44" t="s">
        <v>130</v>
      </c>
      <c r="E44" t="s">
        <v>16</v>
      </c>
      <c r="F44" t="s">
        <v>89</v>
      </c>
      <c r="G44" t="s">
        <v>75</v>
      </c>
      <c r="H44">
        <v>2</v>
      </c>
      <c r="I44">
        <v>4387</v>
      </c>
      <c r="J44">
        <v>8774</v>
      </c>
    </row>
    <row r="45" spans="1:10" x14ac:dyDescent="0.3">
      <c r="A45">
        <v>1173</v>
      </c>
      <c r="B45" t="s">
        <v>131</v>
      </c>
      <c r="C45" t="str">
        <f>TEXT(Sales[[#This Row],[Order_Date]],"mmm")</f>
        <v>Dec</v>
      </c>
      <c r="D45" t="s">
        <v>132</v>
      </c>
      <c r="E45" t="s">
        <v>25</v>
      </c>
      <c r="F45" t="s">
        <v>89</v>
      </c>
      <c r="G45" t="s">
        <v>133</v>
      </c>
      <c r="H45">
        <v>2</v>
      </c>
      <c r="I45">
        <v>2742</v>
      </c>
      <c r="J45">
        <v>5484</v>
      </c>
    </row>
    <row r="46" spans="1:10" x14ac:dyDescent="0.3">
      <c r="A46">
        <v>1025</v>
      </c>
      <c r="B46" t="s">
        <v>134</v>
      </c>
      <c r="C46" t="str">
        <f>TEXT(Sales[[#This Row],[Order_Date]],"mmm")</f>
        <v>Jan</v>
      </c>
      <c r="D46" t="s">
        <v>135</v>
      </c>
      <c r="E46" t="s">
        <v>16</v>
      </c>
      <c r="F46" t="s">
        <v>136</v>
      </c>
      <c r="G46" t="s">
        <v>67</v>
      </c>
      <c r="H46">
        <v>4</v>
      </c>
      <c r="I46">
        <v>4915</v>
      </c>
      <c r="J46">
        <v>19660</v>
      </c>
    </row>
    <row r="47" spans="1:10" x14ac:dyDescent="0.3">
      <c r="A47">
        <v>1506</v>
      </c>
      <c r="B47" t="s">
        <v>137</v>
      </c>
      <c r="C47" t="str">
        <f>TEXT(Sales[[#This Row],[Order_Date]],"mmm")</f>
        <v>Jul</v>
      </c>
      <c r="D47" t="s">
        <v>135</v>
      </c>
      <c r="E47" t="s">
        <v>11</v>
      </c>
      <c r="F47" t="s">
        <v>17</v>
      </c>
      <c r="G47" t="s">
        <v>72</v>
      </c>
      <c r="H47">
        <v>2</v>
      </c>
      <c r="I47">
        <v>1640</v>
      </c>
      <c r="J47">
        <v>3280</v>
      </c>
    </row>
    <row r="48" spans="1:10" x14ac:dyDescent="0.3">
      <c r="A48">
        <v>1475</v>
      </c>
      <c r="B48" t="s">
        <v>138</v>
      </c>
      <c r="C48" t="str">
        <f>TEXT(Sales[[#This Row],[Order_Date]],"mmm")</f>
        <v>Jan</v>
      </c>
      <c r="D48" t="s">
        <v>139</v>
      </c>
      <c r="E48" t="s">
        <v>11</v>
      </c>
      <c r="F48" t="s">
        <v>17</v>
      </c>
      <c r="G48" t="s">
        <v>72</v>
      </c>
      <c r="H48">
        <v>4</v>
      </c>
      <c r="I48">
        <v>4551</v>
      </c>
      <c r="J48">
        <v>18204</v>
      </c>
    </row>
    <row r="49" spans="1:10" x14ac:dyDescent="0.3">
      <c r="A49">
        <v>1453</v>
      </c>
      <c r="B49" t="s">
        <v>141</v>
      </c>
      <c r="C49" t="str">
        <f>TEXT(Sales[[#This Row],[Order_Date]],"mmm")</f>
        <v>Nov</v>
      </c>
      <c r="D49" t="s">
        <v>142</v>
      </c>
      <c r="E49" t="s">
        <v>11</v>
      </c>
      <c r="F49" t="s">
        <v>136</v>
      </c>
      <c r="G49" t="s">
        <v>67</v>
      </c>
      <c r="H49">
        <v>4</v>
      </c>
      <c r="I49">
        <v>3886</v>
      </c>
      <c r="J49">
        <v>15544</v>
      </c>
    </row>
    <row r="50" spans="1:10" x14ac:dyDescent="0.3">
      <c r="A50">
        <v>1283</v>
      </c>
      <c r="B50" t="s">
        <v>143</v>
      </c>
      <c r="C50" t="str">
        <f>TEXT(Sales[[#This Row],[Order_Date]],"mmm")</f>
        <v>Sep</v>
      </c>
      <c r="D50" t="s">
        <v>144</v>
      </c>
      <c r="E50" t="s">
        <v>25</v>
      </c>
      <c r="F50" t="s">
        <v>17</v>
      </c>
      <c r="G50" t="s">
        <v>101</v>
      </c>
      <c r="H50">
        <v>3</v>
      </c>
      <c r="I50">
        <v>2120</v>
      </c>
      <c r="J50">
        <v>6360</v>
      </c>
    </row>
    <row r="51" spans="1:10" x14ac:dyDescent="0.3">
      <c r="A51">
        <v>1553</v>
      </c>
      <c r="B51" t="s">
        <v>145</v>
      </c>
      <c r="C51" t="str">
        <f>TEXT(Sales[[#This Row],[Order_Date]],"mmm")</f>
        <v>Feb</v>
      </c>
      <c r="D51" t="s">
        <v>146</v>
      </c>
      <c r="E51" t="s">
        <v>11</v>
      </c>
      <c r="F51" t="s">
        <v>17</v>
      </c>
      <c r="G51" t="s">
        <v>114</v>
      </c>
      <c r="H51">
        <v>2</v>
      </c>
      <c r="I51">
        <v>726</v>
      </c>
      <c r="J51">
        <v>1452</v>
      </c>
    </row>
    <row r="52" spans="1:10" x14ac:dyDescent="0.3">
      <c r="A52">
        <v>1477</v>
      </c>
      <c r="B52" t="s">
        <v>147</v>
      </c>
      <c r="C52" t="str">
        <f>TEXT(Sales[[#This Row],[Order_Date]],"mmm")</f>
        <v>Jul</v>
      </c>
      <c r="D52" t="s">
        <v>148</v>
      </c>
      <c r="E52" t="s">
        <v>42</v>
      </c>
      <c r="F52" t="s">
        <v>17</v>
      </c>
      <c r="G52" t="s">
        <v>53</v>
      </c>
      <c r="H52">
        <v>5</v>
      </c>
      <c r="I52">
        <v>3316</v>
      </c>
      <c r="J52">
        <v>16580</v>
      </c>
    </row>
    <row r="53" spans="1:10" x14ac:dyDescent="0.3">
      <c r="A53">
        <v>1305</v>
      </c>
      <c r="B53" t="s">
        <v>149</v>
      </c>
      <c r="C53" t="str">
        <f>TEXT(Sales[[#This Row],[Order_Date]],"mmm")</f>
        <v>Jul</v>
      </c>
      <c r="D53" t="s">
        <v>150</v>
      </c>
      <c r="E53" t="s">
        <v>16</v>
      </c>
      <c r="F53" t="s">
        <v>136</v>
      </c>
      <c r="G53" t="s">
        <v>67</v>
      </c>
      <c r="H53">
        <v>2</v>
      </c>
      <c r="I53">
        <v>2435</v>
      </c>
      <c r="J53">
        <v>4870</v>
      </c>
    </row>
    <row r="54" spans="1:10" x14ac:dyDescent="0.3">
      <c r="A54">
        <v>1344</v>
      </c>
      <c r="B54" t="s">
        <v>115</v>
      </c>
      <c r="C54" t="str">
        <f>TEXT(Sales[[#This Row],[Order_Date]],"mmm")</f>
        <v>Dec</v>
      </c>
      <c r="D54" t="s">
        <v>151</v>
      </c>
      <c r="E54" t="s">
        <v>11</v>
      </c>
      <c r="F54" t="s">
        <v>136</v>
      </c>
      <c r="G54" t="s">
        <v>128</v>
      </c>
      <c r="H54">
        <v>5</v>
      </c>
      <c r="I54">
        <v>4575</v>
      </c>
      <c r="J54">
        <v>22875</v>
      </c>
    </row>
    <row r="55" spans="1:10" x14ac:dyDescent="0.3">
      <c r="A55">
        <v>1577</v>
      </c>
      <c r="B55" t="s">
        <v>125</v>
      </c>
      <c r="C55" t="str">
        <f>TEXT(Sales[[#This Row],[Order_Date]],"mmm")</f>
        <v>Dec</v>
      </c>
      <c r="D55" t="s">
        <v>152</v>
      </c>
      <c r="E55" t="s">
        <v>16</v>
      </c>
      <c r="F55" t="s">
        <v>83</v>
      </c>
      <c r="G55" t="s">
        <v>78</v>
      </c>
      <c r="H55">
        <v>2</v>
      </c>
      <c r="I55">
        <v>611</v>
      </c>
      <c r="J55">
        <v>1222</v>
      </c>
    </row>
    <row r="56" spans="1:10" x14ac:dyDescent="0.3">
      <c r="A56">
        <v>1465</v>
      </c>
      <c r="B56" t="s">
        <v>153</v>
      </c>
      <c r="C56" t="str">
        <f>TEXT(Sales[[#This Row],[Order_Date]],"mmm")</f>
        <v>Jun</v>
      </c>
      <c r="D56" t="s">
        <v>154</v>
      </c>
      <c r="E56" t="s">
        <v>42</v>
      </c>
      <c r="F56" t="s">
        <v>136</v>
      </c>
      <c r="G56" t="s">
        <v>657</v>
      </c>
      <c r="H56">
        <v>1</v>
      </c>
      <c r="I56">
        <v>4052</v>
      </c>
      <c r="J56">
        <v>4052</v>
      </c>
    </row>
    <row r="57" spans="1:10" x14ac:dyDescent="0.3">
      <c r="A57">
        <v>1358</v>
      </c>
      <c r="B57" t="s">
        <v>155</v>
      </c>
      <c r="C57" t="str">
        <f>TEXT(Sales[[#This Row],[Order_Date]],"mmm")</f>
        <v>Apr</v>
      </c>
      <c r="D57" t="s">
        <v>156</v>
      </c>
      <c r="E57" t="s">
        <v>16</v>
      </c>
      <c r="F57" t="s">
        <v>83</v>
      </c>
      <c r="G57" t="s">
        <v>32</v>
      </c>
      <c r="H57">
        <v>2</v>
      </c>
      <c r="I57">
        <v>366</v>
      </c>
      <c r="J57">
        <v>732</v>
      </c>
    </row>
    <row r="58" spans="1:10" x14ac:dyDescent="0.3">
      <c r="A58">
        <v>1484</v>
      </c>
      <c r="B58" t="s">
        <v>115</v>
      </c>
      <c r="C58" t="str">
        <f>TEXT(Sales[[#This Row],[Order_Date]],"mmm")</f>
        <v>Dec</v>
      </c>
      <c r="D58" t="s">
        <v>157</v>
      </c>
      <c r="E58" t="s">
        <v>25</v>
      </c>
      <c r="F58" t="s">
        <v>17</v>
      </c>
      <c r="G58" t="s">
        <v>53</v>
      </c>
      <c r="H58">
        <v>2</v>
      </c>
      <c r="I58">
        <v>1138</v>
      </c>
      <c r="J58">
        <v>2276</v>
      </c>
    </row>
    <row r="59" spans="1:10" x14ac:dyDescent="0.3">
      <c r="A59">
        <v>1318</v>
      </c>
      <c r="B59" t="s">
        <v>158</v>
      </c>
      <c r="C59" t="str">
        <f>TEXT(Sales[[#This Row],[Order_Date]],"mmm")</f>
        <v>Feb</v>
      </c>
      <c r="D59" t="s">
        <v>159</v>
      </c>
      <c r="E59" t="s">
        <v>11</v>
      </c>
      <c r="F59" t="s">
        <v>83</v>
      </c>
      <c r="G59" t="s">
        <v>112</v>
      </c>
      <c r="H59">
        <v>2</v>
      </c>
      <c r="I59">
        <v>822</v>
      </c>
      <c r="J59">
        <v>1644</v>
      </c>
    </row>
    <row r="60" spans="1:10" x14ac:dyDescent="0.3">
      <c r="A60">
        <v>1248</v>
      </c>
      <c r="B60" t="s">
        <v>160</v>
      </c>
      <c r="C60" t="str">
        <f>TEXT(Sales[[#This Row],[Order_Date]],"mmm")</f>
        <v>Feb</v>
      </c>
      <c r="D60" t="s">
        <v>20</v>
      </c>
      <c r="E60" t="s">
        <v>42</v>
      </c>
      <c r="F60" t="s">
        <v>89</v>
      </c>
      <c r="G60" t="s">
        <v>133</v>
      </c>
      <c r="H60">
        <v>3</v>
      </c>
      <c r="I60">
        <v>4564</v>
      </c>
      <c r="J60">
        <v>13692</v>
      </c>
    </row>
    <row r="61" spans="1:10" x14ac:dyDescent="0.3">
      <c r="A61">
        <v>1518</v>
      </c>
      <c r="B61" t="s">
        <v>161</v>
      </c>
      <c r="C61" t="str">
        <f>TEXT(Sales[[#This Row],[Order_Date]],"mmm")</f>
        <v>Nov</v>
      </c>
      <c r="D61" t="s">
        <v>162</v>
      </c>
      <c r="E61" t="s">
        <v>25</v>
      </c>
      <c r="F61" t="s">
        <v>83</v>
      </c>
      <c r="G61" t="s">
        <v>78</v>
      </c>
      <c r="H61">
        <v>4</v>
      </c>
      <c r="I61">
        <v>3167</v>
      </c>
      <c r="J61">
        <v>12668</v>
      </c>
    </row>
    <row r="62" spans="1:10" x14ac:dyDescent="0.3">
      <c r="A62">
        <v>1156</v>
      </c>
      <c r="B62" t="s">
        <v>163</v>
      </c>
      <c r="C62" t="str">
        <f>TEXT(Sales[[#This Row],[Order_Date]],"mmm")</f>
        <v>Aug</v>
      </c>
      <c r="D62" t="s">
        <v>164</v>
      </c>
      <c r="E62" t="s">
        <v>16</v>
      </c>
      <c r="F62" t="s">
        <v>89</v>
      </c>
      <c r="G62" t="s">
        <v>133</v>
      </c>
      <c r="H62">
        <v>4</v>
      </c>
      <c r="I62">
        <v>2398</v>
      </c>
      <c r="J62">
        <v>9592</v>
      </c>
    </row>
    <row r="63" spans="1:10" x14ac:dyDescent="0.3">
      <c r="A63">
        <v>1088</v>
      </c>
      <c r="B63" t="s">
        <v>165</v>
      </c>
      <c r="C63" t="str">
        <f>TEXT(Sales[[#This Row],[Order_Date]],"mmm")</f>
        <v>May</v>
      </c>
      <c r="D63" t="s">
        <v>99</v>
      </c>
      <c r="E63" t="s">
        <v>11</v>
      </c>
      <c r="F63" t="s">
        <v>136</v>
      </c>
      <c r="G63" t="s">
        <v>128</v>
      </c>
      <c r="H63">
        <v>3</v>
      </c>
      <c r="I63">
        <v>435</v>
      </c>
      <c r="J63">
        <v>1305</v>
      </c>
    </row>
    <row r="64" spans="1:10" x14ac:dyDescent="0.3">
      <c r="A64">
        <v>1499</v>
      </c>
      <c r="B64" t="s">
        <v>166</v>
      </c>
      <c r="C64" t="str">
        <f>TEXT(Sales[[#This Row],[Order_Date]],"mmm")</f>
        <v>Apr</v>
      </c>
      <c r="D64" t="s">
        <v>167</v>
      </c>
      <c r="E64" t="s">
        <v>42</v>
      </c>
      <c r="F64" t="s">
        <v>89</v>
      </c>
      <c r="G64" t="s">
        <v>95</v>
      </c>
      <c r="H64">
        <v>5</v>
      </c>
      <c r="I64">
        <v>283</v>
      </c>
      <c r="J64">
        <v>1415</v>
      </c>
    </row>
    <row r="65" spans="1:10" x14ac:dyDescent="0.3">
      <c r="A65">
        <v>1247</v>
      </c>
      <c r="B65" t="s">
        <v>168</v>
      </c>
      <c r="C65" t="str">
        <f>TEXT(Sales[[#This Row],[Order_Date]],"mmm")</f>
        <v>Jul</v>
      </c>
      <c r="D65" t="s">
        <v>169</v>
      </c>
      <c r="E65" t="s">
        <v>16</v>
      </c>
      <c r="F65" t="s">
        <v>17</v>
      </c>
      <c r="G65" t="s">
        <v>53</v>
      </c>
      <c r="H65">
        <v>1</v>
      </c>
      <c r="I65">
        <v>962</v>
      </c>
      <c r="J65">
        <v>962</v>
      </c>
    </row>
    <row r="66" spans="1:10" x14ac:dyDescent="0.3">
      <c r="A66">
        <v>1249</v>
      </c>
      <c r="B66" t="s">
        <v>170</v>
      </c>
      <c r="C66" t="str">
        <f>TEXT(Sales[[#This Row],[Order_Date]],"mmm")</f>
        <v>Jun</v>
      </c>
      <c r="D66" t="s">
        <v>171</v>
      </c>
      <c r="E66" t="s">
        <v>11</v>
      </c>
      <c r="F66" t="s">
        <v>89</v>
      </c>
      <c r="G66" t="s">
        <v>75</v>
      </c>
      <c r="H66">
        <v>5</v>
      </c>
      <c r="I66">
        <v>2909</v>
      </c>
      <c r="J66">
        <v>14545</v>
      </c>
    </row>
    <row r="67" spans="1:10" x14ac:dyDescent="0.3">
      <c r="A67">
        <v>1313</v>
      </c>
      <c r="B67" t="s">
        <v>172</v>
      </c>
      <c r="C67" t="str">
        <f>TEXT(Sales[[#This Row],[Order_Date]],"mmm")</f>
        <v>May</v>
      </c>
      <c r="D67" t="s">
        <v>173</v>
      </c>
      <c r="E67" t="s">
        <v>25</v>
      </c>
      <c r="F67" t="s">
        <v>83</v>
      </c>
      <c r="G67" t="s">
        <v>93</v>
      </c>
      <c r="H67">
        <v>5</v>
      </c>
      <c r="I67">
        <v>1716</v>
      </c>
      <c r="J67">
        <v>8580</v>
      </c>
    </row>
    <row r="68" spans="1:10" x14ac:dyDescent="0.3">
      <c r="A68">
        <v>1283</v>
      </c>
      <c r="B68" t="s">
        <v>174</v>
      </c>
      <c r="C68" t="str">
        <f>TEXT(Sales[[#This Row],[Order_Date]],"mmm")</f>
        <v>Oct</v>
      </c>
      <c r="D68" t="s">
        <v>175</v>
      </c>
      <c r="E68" t="s">
        <v>657</v>
      </c>
      <c r="F68" t="s">
        <v>89</v>
      </c>
      <c r="G68" t="s">
        <v>27</v>
      </c>
      <c r="H68">
        <v>2</v>
      </c>
      <c r="I68">
        <v>3156</v>
      </c>
      <c r="J68">
        <v>6312</v>
      </c>
    </row>
    <row r="69" spans="1:10" x14ac:dyDescent="0.3">
      <c r="A69">
        <v>1546</v>
      </c>
      <c r="B69" t="s">
        <v>176</v>
      </c>
      <c r="C69" t="str">
        <f>TEXT(Sales[[#This Row],[Order_Date]],"mmm")</f>
        <v>Mar</v>
      </c>
      <c r="D69" t="s">
        <v>177</v>
      </c>
      <c r="E69" t="s">
        <v>11</v>
      </c>
      <c r="F69" t="s">
        <v>83</v>
      </c>
      <c r="G69" t="s">
        <v>32</v>
      </c>
      <c r="H69">
        <v>4</v>
      </c>
      <c r="I69">
        <v>1040</v>
      </c>
      <c r="J69">
        <v>4160</v>
      </c>
    </row>
    <row r="70" spans="1:10" x14ac:dyDescent="0.3">
      <c r="A70">
        <v>1480</v>
      </c>
      <c r="B70" t="s">
        <v>178</v>
      </c>
      <c r="C70" t="str">
        <f>TEXT(Sales[[#This Row],[Order_Date]],"mmm")</f>
        <v>Sep</v>
      </c>
      <c r="D70" t="s">
        <v>179</v>
      </c>
      <c r="E70" t="s">
        <v>42</v>
      </c>
      <c r="F70" t="s">
        <v>89</v>
      </c>
      <c r="G70" t="s">
        <v>13</v>
      </c>
      <c r="H70">
        <v>4</v>
      </c>
      <c r="I70">
        <v>1134</v>
      </c>
      <c r="J70">
        <v>4536</v>
      </c>
    </row>
    <row r="71" spans="1:10" x14ac:dyDescent="0.3">
      <c r="A71">
        <v>1075</v>
      </c>
      <c r="B71" t="s">
        <v>28</v>
      </c>
      <c r="C71" t="str">
        <f>TEXT(Sales[[#This Row],[Order_Date]],"mmm")</f>
        <v>Oct</v>
      </c>
      <c r="D71" t="s">
        <v>180</v>
      </c>
      <c r="E71" t="s">
        <v>42</v>
      </c>
      <c r="F71" t="s">
        <v>83</v>
      </c>
      <c r="G71" t="s">
        <v>93</v>
      </c>
      <c r="H71">
        <v>1</v>
      </c>
      <c r="I71">
        <v>2233</v>
      </c>
      <c r="J71">
        <v>2233</v>
      </c>
    </row>
    <row r="72" spans="1:10" x14ac:dyDescent="0.3">
      <c r="A72">
        <v>1231</v>
      </c>
      <c r="B72" t="s">
        <v>181</v>
      </c>
      <c r="C72" t="str">
        <f>TEXT(Sales[[#This Row],[Order_Date]],"mmm")</f>
        <v>Sep</v>
      </c>
      <c r="D72" t="s">
        <v>182</v>
      </c>
      <c r="E72" t="s">
        <v>11</v>
      </c>
      <c r="F72" t="s">
        <v>136</v>
      </c>
      <c r="G72" t="s">
        <v>46</v>
      </c>
      <c r="H72">
        <v>3</v>
      </c>
      <c r="I72">
        <v>4858</v>
      </c>
      <c r="J72">
        <v>14574</v>
      </c>
    </row>
    <row r="73" spans="1:10" x14ac:dyDescent="0.3">
      <c r="A73">
        <v>1101</v>
      </c>
      <c r="B73" t="s">
        <v>183</v>
      </c>
      <c r="C73" t="str">
        <f>TEXT(Sales[[#This Row],[Order_Date]],"mmm")</f>
        <v>Apr</v>
      </c>
      <c r="D73" t="s">
        <v>51</v>
      </c>
      <c r="E73" t="s">
        <v>11</v>
      </c>
      <c r="F73" t="s">
        <v>17</v>
      </c>
      <c r="G73" t="s">
        <v>101</v>
      </c>
      <c r="H73">
        <v>2</v>
      </c>
      <c r="I73">
        <v>1623</v>
      </c>
      <c r="J73">
        <v>3246</v>
      </c>
    </row>
    <row r="74" spans="1:10" x14ac:dyDescent="0.3">
      <c r="A74">
        <v>1418</v>
      </c>
      <c r="B74" t="s">
        <v>184</v>
      </c>
      <c r="C74" t="str">
        <f>TEXT(Sales[[#This Row],[Order_Date]],"mmm")</f>
        <v>Aug</v>
      </c>
      <c r="D74" t="s">
        <v>185</v>
      </c>
      <c r="E74" t="s">
        <v>16</v>
      </c>
      <c r="F74" t="s">
        <v>136</v>
      </c>
      <c r="G74" t="s">
        <v>22</v>
      </c>
      <c r="H74">
        <v>3</v>
      </c>
      <c r="I74">
        <v>2516</v>
      </c>
      <c r="J74">
        <v>7548</v>
      </c>
    </row>
    <row r="75" spans="1:10" x14ac:dyDescent="0.3">
      <c r="A75">
        <v>1239</v>
      </c>
      <c r="B75" t="s">
        <v>186</v>
      </c>
      <c r="C75" t="str">
        <f>TEXT(Sales[[#This Row],[Order_Date]],"mmm")</f>
        <v>May</v>
      </c>
      <c r="D75" t="s">
        <v>187</v>
      </c>
      <c r="E75" t="s">
        <v>16</v>
      </c>
      <c r="F75" t="s">
        <v>17</v>
      </c>
      <c r="G75" t="s">
        <v>53</v>
      </c>
      <c r="H75">
        <v>2</v>
      </c>
      <c r="I75">
        <v>2376</v>
      </c>
      <c r="J75">
        <v>4752</v>
      </c>
    </row>
    <row r="76" spans="1:10" x14ac:dyDescent="0.3">
      <c r="A76">
        <v>1169</v>
      </c>
      <c r="B76" t="s">
        <v>188</v>
      </c>
      <c r="C76" t="str">
        <f>TEXT(Sales[[#This Row],[Order_Date]],"mmm")</f>
        <v>Jun</v>
      </c>
      <c r="D76" t="s">
        <v>189</v>
      </c>
      <c r="E76" t="s">
        <v>16</v>
      </c>
      <c r="F76" t="s">
        <v>89</v>
      </c>
      <c r="G76" t="s">
        <v>75</v>
      </c>
      <c r="H76">
        <v>3</v>
      </c>
      <c r="I76">
        <v>3497</v>
      </c>
      <c r="J76">
        <v>10491</v>
      </c>
    </row>
    <row r="77" spans="1:10" x14ac:dyDescent="0.3">
      <c r="A77">
        <v>1505</v>
      </c>
      <c r="B77" t="s">
        <v>190</v>
      </c>
      <c r="C77" t="str">
        <f>TEXT(Sales[[#This Row],[Order_Date]],"mmm")</f>
        <v>Aug</v>
      </c>
      <c r="D77" t="s">
        <v>191</v>
      </c>
      <c r="E77" t="s">
        <v>42</v>
      </c>
      <c r="F77" t="s">
        <v>83</v>
      </c>
      <c r="G77" t="s">
        <v>78</v>
      </c>
      <c r="H77">
        <v>1</v>
      </c>
      <c r="I77">
        <v>948</v>
      </c>
      <c r="J77">
        <v>948</v>
      </c>
    </row>
    <row r="78" spans="1:10" x14ac:dyDescent="0.3">
      <c r="A78">
        <v>1589</v>
      </c>
      <c r="B78" t="s">
        <v>192</v>
      </c>
      <c r="C78" t="str">
        <f>TEXT(Sales[[#This Row],[Order_Date]],"mmm")</f>
        <v>Oct</v>
      </c>
      <c r="D78" t="s">
        <v>193</v>
      </c>
      <c r="E78" t="s">
        <v>11</v>
      </c>
      <c r="F78" t="s">
        <v>83</v>
      </c>
      <c r="G78" t="s">
        <v>112</v>
      </c>
      <c r="H78">
        <v>4</v>
      </c>
      <c r="I78">
        <v>4451</v>
      </c>
      <c r="J78">
        <v>17804</v>
      </c>
    </row>
    <row r="79" spans="1:10" x14ac:dyDescent="0.3">
      <c r="A79">
        <v>1185</v>
      </c>
      <c r="B79" t="s">
        <v>47</v>
      </c>
      <c r="C79" t="str">
        <f>TEXT(Sales[[#This Row],[Order_Date]],"mmm")</f>
        <v>Oct</v>
      </c>
      <c r="D79" t="s">
        <v>194</v>
      </c>
      <c r="E79" t="s">
        <v>25</v>
      </c>
      <c r="F79" t="s">
        <v>136</v>
      </c>
      <c r="G79" t="s">
        <v>124</v>
      </c>
      <c r="H79">
        <v>4</v>
      </c>
      <c r="I79">
        <v>2930</v>
      </c>
      <c r="J79">
        <v>11720</v>
      </c>
    </row>
    <row r="80" spans="1:10" x14ac:dyDescent="0.3">
      <c r="A80">
        <v>1164</v>
      </c>
      <c r="B80" t="s">
        <v>195</v>
      </c>
      <c r="C80" t="str">
        <f>TEXT(Sales[[#This Row],[Order_Date]],"mmm")</f>
        <v>Jun</v>
      </c>
      <c r="D80" t="s">
        <v>196</v>
      </c>
      <c r="E80" t="s">
        <v>42</v>
      </c>
      <c r="F80" t="s">
        <v>136</v>
      </c>
      <c r="G80" t="s">
        <v>22</v>
      </c>
      <c r="H80">
        <v>4</v>
      </c>
      <c r="I80">
        <v>921</v>
      </c>
      <c r="J80">
        <v>3684</v>
      </c>
    </row>
    <row r="81" spans="1:10" x14ac:dyDescent="0.3">
      <c r="A81">
        <v>1413</v>
      </c>
      <c r="B81" t="s">
        <v>73</v>
      </c>
      <c r="C81" t="str">
        <f>TEXT(Sales[[#This Row],[Order_Date]],"mmm")</f>
        <v>Sep</v>
      </c>
      <c r="D81" t="s">
        <v>197</v>
      </c>
      <c r="E81" t="s">
        <v>11</v>
      </c>
      <c r="F81" t="s">
        <v>83</v>
      </c>
      <c r="G81" t="s">
        <v>57</v>
      </c>
      <c r="H81">
        <v>1</v>
      </c>
      <c r="I81">
        <v>1736</v>
      </c>
      <c r="J81">
        <v>1736</v>
      </c>
    </row>
    <row r="82" spans="1:10" x14ac:dyDescent="0.3">
      <c r="A82">
        <v>1510</v>
      </c>
      <c r="B82" t="s">
        <v>198</v>
      </c>
      <c r="C82" t="str">
        <f>TEXT(Sales[[#This Row],[Order_Date]],"mmm")</f>
        <v>Nov</v>
      </c>
      <c r="D82" t="s">
        <v>199</v>
      </c>
      <c r="E82" t="s">
        <v>11</v>
      </c>
      <c r="F82" t="s">
        <v>83</v>
      </c>
      <c r="G82" t="s">
        <v>93</v>
      </c>
      <c r="H82">
        <v>3</v>
      </c>
      <c r="I82">
        <v>3789</v>
      </c>
      <c r="J82">
        <v>11367</v>
      </c>
    </row>
    <row r="83" spans="1:10" x14ac:dyDescent="0.3">
      <c r="A83">
        <v>1029</v>
      </c>
      <c r="B83" t="s">
        <v>200</v>
      </c>
      <c r="C83" t="str">
        <f>TEXT(Sales[[#This Row],[Order_Date]],"mmm")</f>
        <v>Nov</v>
      </c>
      <c r="D83" t="s">
        <v>201</v>
      </c>
      <c r="E83" t="s">
        <v>42</v>
      </c>
      <c r="F83" t="s">
        <v>17</v>
      </c>
      <c r="G83" t="s">
        <v>114</v>
      </c>
      <c r="H83">
        <v>5</v>
      </c>
      <c r="I83">
        <v>3542</v>
      </c>
      <c r="J83">
        <v>17710</v>
      </c>
    </row>
    <row r="84" spans="1:10" x14ac:dyDescent="0.3">
      <c r="A84">
        <v>1116</v>
      </c>
      <c r="B84" t="s">
        <v>81</v>
      </c>
      <c r="C84" t="str">
        <f>TEXT(Sales[[#This Row],[Order_Date]],"mmm")</f>
        <v>Aug</v>
      </c>
      <c r="D84" t="s">
        <v>202</v>
      </c>
      <c r="E84" t="s">
        <v>42</v>
      </c>
      <c r="F84" t="s">
        <v>83</v>
      </c>
      <c r="G84" t="s">
        <v>93</v>
      </c>
      <c r="H84">
        <v>5</v>
      </c>
      <c r="I84">
        <v>2439</v>
      </c>
      <c r="J84">
        <v>12195</v>
      </c>
    </row>
    <row r="85" spans="1:10" x14ac:dyDescent="0.3">
      <c r="A85">
        <v>1483</v>
      </c>
      <c r="B85" t="s">
        <v>203</v>
      </c>
      <c r="C85" t="str">
        <f>TEXT(Sales[[#This Row],[Order_Date]],"mmm")</f>
        <v>May</v>
      </c>
      <c r="D85" t="s">
        <v>204</v>
      </c>
      <c r="E85" t="s">
        <v>11</v>
      </c>
      <c r="F85" t="s">
        <v>17</v>
      </c>
      <c r="G85" t="s">
        <v>53</v>
      </c>
      <c r="H85">
        <v>1</v>
      </c>
      <c r="I85">
        <v>2463</v>
      </c>
      <c r="J85">
        <v>2463</v>
      </c>
    </row>
    <row r="86" spans="1:10" x14ac:dyDescent="0.3">
      <c r="A86">
        <v>1348</v>
      </c>
      <c r="B86" t="s">
        <v>205</v>
      </c>
      <c r="C86" t="str">
        <f>TEXT(Sales[[#This Row],[Order_Date]],"mmm")</f>
        <v>Sep</v>
      </c>
      <c r="D86" t="s">
        <v>206</v>
      </c>
      <c r="E86" t="s">
        <v>16</v>
      </c>
      <c r="F86" t="s">
        <v>83</v>
      </c>
      <c r="G86" t="s">
        <v>112</v>
      </c>
      <c r="H86">
        <v>2</v>
      </c>
      <c r="I86">
        <v>3858</v>
      </c>
      <c r="J86">
        <v>7716</v>
      </c>
    </row>
    <row r="87" spans="1:10" x14ac:dyDescent="0.3">
      <c r="A87">
        <v>1565</v>
      </c>
      <c r="B87" t="s">
        <v>207</v>
      </c>
      <c r="C87" t="str">
        <f>TEXT(Sales[[#This Row],[Order_Date]],"mmm")</f>
        <v>Oct</v>
      </c>
      <c r="D87" t="s">
        <v>208</v>
      </c>
      <c r="E87" t="s">
        <v>16</v>
      </c>
      <c r="F87" t="s">
        <v>136</v>
      </c>
      <c r="G87" t="s">
        <v>22</v>
      </c>
      <c r="H87">
        <v>5</v>
      </c>
      <c r="I87">
        <v>3337</v>
      </c>
      <c r="J87">
        <v>16685</v>
      </c>
    </row>
    <row r="88" spans="1:10" x14ac:dyDescent="0.3">
      <c r="A88">
        <v>1044</v>
      </c>
      <c r="B88" t="s">
        <v>209</v>
      </c>
      <c r="C88" t="str">
        <f>TEXT(Sales[[#This Row],[Order_Date]],"mmm")</f>
        <v>Jun</v>
      </c>
      <c r="D88" t="s">
        <v>210</v>
      </c>
      <c r="E88" t="s">
        <v>11</v>
      </c>
      <c r="F88" t="s">
        <v>136</v>
      </c>
      <c r="G88" t="s">
        <v>46</v>
      </c>
      <c r="H88">
        <v>4</v>
      </c>
      <c r="I88">
        <v>503</v>
      </c>
      <c r="J88">
        <v>2012</v>
      </c>
    </row>
    <row r="89" spans="1:10" x14ac:dyDescent="0.3">
      <c r="A89">
        <v>1339</v>
      </c>
      <c r="B89" t="s">
        <v>211</v>
      </c>
      <c r="C89" t="str">
        <f>TEXT(Sales[[#This Row],[Order_Date]],"mmm")</f>
        <v>Feb</v>
      </c>
      <c r="D89" t="s">
        <v>212</v>
      </c>
      <c r="E89" t="s">
        <v>42</v>
      </c>
      <c r="F89" t="s">
        <v>136</v>
      </c>
      <c r="G89" t="s">
        <v>124</v>
      </c>
      <c r="H89">
        <v>2</v>
      </c>
      <c r="I89">
        <v>3558</v>
      </c>
      <c r="J89">
        <v>7116</v>
      </c>
    </row>
    <row r="90" spans="1:10" x14ac:dyDescent="0.3">
      <c r="A90">
        <v>1076</v>
      </c>
      <c r="B90" t="s">
        <v>213</v>
      </c>
      <c r="C90" t="str">
        <f>TEXT(Sales[[#This Row],[Order_Date]],"mmm")</f>
        <v>Aug</v>
      </c>
      <c r="D90" t="s">
        <v>214</v>
      </c>
      <c r="E90" t="s">
        <v>25</v>
      </c>
      <c r="F90" t="s">
        <v>89</v>
      </c>
      <c r="G90" t="s">
        <v>95</v>
      </c>
      <c r="H90">
        <v>3</v>
      </c>
      <c r="I90">
        <v>4571</v>
      </c>
      <c r="J90">
        <v>13713</v>
      </c>
    </row>
    <row r="91" spans="1:10" x14ac:dyDescent="0.3">
      <c r="A91">
        <v>1499</v>
      </c>
      <c r="B91" t="s">
        <v>215</v>
      </c>
      <c r="C91" t="str">
        <f>TEXT(Sales[[#This Row],[Order_Date]],"mmm")</f>
        <v>Oct</v>
      </c>
      <c r="D91" t="s">
        <v>216</v>
      </c>
      <c r="E91" t="s">
        <v>16</v>
      </c>
      <c r="F91" t="s">
        <v>83</v>
      </c>
      <c r="G91" t="s">
        <v>93</v>
      </c>
      <c r="H91">
        <v>1</v>
      </c>
      <c r="I91">
        <v>3755</v>
      </c>
      <c r="J91">
        <v>3755</v>
      </c>
    </row>
    <row r="92" spans="1:10" x14ac:dyDescent="0.3">
      <c r="A92">
        <v>1102</v>
      </c>
      <c r="B92" t="s">
        <v>217</v>
      </c>
      <c r="C92" t="str">
        <f>TEXT(Sales[[#This Row],[Order_Date]],"mmm")</f>
        <v>Aug</v>
      </c>
      <c r="D92" t="s">
        <v>218</v>
      </c>
      <c r="E92" t="s">
        <v>25</v>
      </c>
      <c r="F92" t="s">
        <v>89</v>
      </c>
      <c r="G92" t="s">
        <v>27</v>
      </c>
      <c r="H92">
        <v>1</v>
      </c>
      <c r="I92">
        <v>2603</v>
      </c>
      <c r="J92">
        <v>2603</v>
      </c>
    </row>
    <row r="93" spans="1:10" x14ac:dyDescent="0.3">
      <c r="A93">
        <v>1250</v>
      </c>
      <c r="B93" t="s">
        <v>60</v>
      </c>
      <c r="C93" t="str">
        <f>TEXT(Sales[[#This Row],[Order_Date]],"mmm")</f>
        <v>Sep</v>
      </c>
      <c r="D93" t="s">
        <v>196</v>
      </c>
      <c r="E93" t="s">
        <v>25</v>
      </c>
      <c r="F93" t="s">
        <v>17</v>
      </c>
      <c r="G93" t="s">
        <v>114</v>
      </c>
      <c r="H93">
        <v>5</v>
      </c>
      <c r="I93">
        <v>3333</v>
      </c>
      <c r="J93">
        <v>16665</v>
      </c>
    </row>
    <row r="94" spans="1:10" x14ac:dyDescent="0.3">
      <c r="A94">
        <v>1597</v>
      </c>
      <c r="B94" t="s">
        <v>219</v>
      </c>
      <c r="C94" t="str">
        <f>TEXT(Sales[[#This Row],[Order_Date]],"mmm")</f>
        <v>Mar</v>
      </c>
      <c r="D94" t="s">
        <v>173</v>
      </c>
      <c r="E94" t="s">
        <v>42</v>
      </c>
      <c r="F94" t="s">
        <v>136</v>
      </c>
      <c r="G94" t="s">
        <v>22</v>
      </c>
      <c r="H94">
        <v>1</v>
      </c>
      <c r="I94">
        <v>4011</v>
      </c>
      <c r="J94">
        <v>4011</v>
      </c>
    </row>
    <row r="95" spans="1:10" x14ac:dyDescent="0.3">
      <c r="A95">
        <v>1161</v>
      </c>
      <c r="B95" t="s">
        <v>220</v>
      </c>
      <c r="C95" t="str">
        <f>TEXT(Sales[[#This Row],[Order_Date]],"mmm")</f>
        <v>Feb</v>
      </c>
      <c r="D95" t="s">
        <v>199</v>
      </c>
      <c r="E95" t="s">
        <v>11</v>
      </c>
      <c r="F95" t="s">
        <v>89</v>
      </c>
      <c r="G95" t="s">
        <v>133</v>
      </c>
      <c r="H95">
        <v>3</v>
      </c>
      <c r="I95">
        <v>3942</v>
      </c>
      <c r="J95">
        <v>11826</v>
      </c>
    </row>
    <row r="96" spans="1:10" x14ac:dyDescent="0.3">
      <c r="A96">
        <v>1393</v>
      </c>
      <c r="B96" t="s">
        <v>221</v>
      </c>
      <c r="C96" t="str">
        <f>TEXT(Sales[[#This Row],[Order_Date]],"mmm")</f>
        <v>Sep</v>
      </c>
      <c r="D96" t="s">
        <v>121</v>
      </c>
      <c r="E96" t="s">
        <v>42</v>
      </c>
      <c r="F96" t="s">
        <v>17</v>
      </c>
      <c r="G96" t="s">
        <v>53</v>
      </c>
      <c r="H96">
        <v>3</v>
      </c>
      <c r="I96">
        <v>379</v>
      </c>
      <c r="J96">
        <v>1137</v>
      </c>
    </row>
    <row r="97" spans="1:10" x14ac:dyDescent="0.3">
      <c r="A97">
        <v>1281</v>
      </c>
      <c r="B97" t="s">
        <v>102</v>
      </c>
      <c r="C97" t="str">
        <f>TEXT(Sales[[#This Row],[Order_Date]],"mmm")</f>
        <v>Jan</v>
      </c>
      <c r="D97" t="s">
        <v>222</v>
      </c>
      <c r="E97" t="s">
        <v>42</v>
      </c>
      <c r="F97" t="s">
        <v>83</v>
      </c>
      <c r="G97" t="s">
        <v>57</v>
      </c>
      <c r="H97">
        <v>2</v>
      </c>
      <c r="I97">
        <v>3086</v>
      </c>
      <c r="J97">
        <v>6172</v>
      </c>
    </row>
    <row r="98" spans="1:10" x14ac:dyDescent="0.3">
      <c r="A98">
        <v>1256</v>
      </c>
      <c r="B98" t="s">
        <v>223</v>
      </c>
      <c r="C98" t="str">
        <f>TEXT(Sales[[#This Row],[Order_Date]],"mmm")</f>
        <v>Dec</v>
      </c>
      <c r="D98" t="s">
        <v>224</v>
      </c>
      <c r="E98" t="s">
        <v>42</v>
      </c>
      <c r="F98" t="s">
        <v>17</v>
      </c>
      <c r="G98" t="s">
        <v>72</v>
      </c>
      <c r="H98">
        <v>4</v>
      </c>
      <c r="I98">
        <v>473</v>
      </c>
      <c r="J98">
        <v>1892</v>
      </c>
    </row>
    <row r="99" spans="1:10" x14ac:dyDescent="0.3">
      <c r="A99">
        <v>1092</v>
      </c>
      <c r="B99" t="s">
        <v>225</v>
      </c>
      <c r="C99" t="str">
        <f>TEXT(Sales[[#This Row],[Order_Date]],"mmm")</f>
        <v>May</v>
      </c>
      <c r="D99" t="s">
        <v>226</v>
      </c>
      <c r="E99" t="s">
        <v>11</v>
      </c>
      <c r="F99" t="s">
        <v>136</v>
      </c>
      <c r="G99" t="s">
        <v>128</v>
      </c>
      <c r="H99">
        <v>5</v>
      </c>
      <c r="I99">
        <v>3197</v>
      </c>
      <c r="J99">
        <v>15985</v>
      </c>
    </row>
    <row r="100" spans="1:10" x14ac:dyDescent="0.3">
      <c r="A100">
        <v>1168</v>
      </c>
      <c r="B100" t="s">
        <v>227</v>
      </c>
      <c r="C100" t="str">
        <f>TEXT(Sales[[#This Row],[Order_Date]],"mmm")</f>
        <v>May</v>
      </c>
      <c r="D100" t="s">
        <v>228</v>
      </c>
      <c r="E100" t="s">
        <v>25</v>
      </c>
      <c r="F100" t="s">
        <v>136</v>
      </c>
      <c r="G100" t="s">
        <v>22</v>
      </c>
      <c r="H100">
        <v>4</v>
      </c>
      <c r="I100">
        <v>816</v>
      </c>
      <c r="J100">
        <v>3264</v>
      </c>
    </row>
    <row r="101" spans="1:10" x14ac:dyDescent="0.3">
      <c r="A101">
        <v>1406</v>
      </c>
      <c r="B101" t="s">
        <v>229</v>
      </c>
      <c r="C101" t="str">
        <f>TEXT(Sales[[#This Row],[Order_Date]],"mmm")</f>
        <v>Oct</v>
      </c>
      <c r="D101" t="s">
        <v>230</v>
      </c>
      <c r="E101" t="s">
        <v>42</v>
      </c>
      <c r="F101" t="s">
        <v>83</v>
      </c>
      <c r="G101" t="s">
        <v>78</v>
      </c>
      <c r="H101">
        <v>5</v>
      </c>
      <c r="I101">
        <v>1212</v>
      </c>
      <c r="J101">
        <v>6060</v>
      </c>
    </row>
    <row r="102" spans="1:10" x14ac:dyDescent="0.3">
      <c r="A102">
        <v>1268</v>
      </c>
      <c r="B102" t="s">
        <v>47</v>
      </c>
      <c r="C102" t="str">
        <f>TEXT(Sales[[#This Row],[Order_Date]],"mmm")</f>
        <v>Oct</v>
      </c>
      <c r="D102" t="s">
        <v>182</v>
      </c>
      <c r="E102" t="s">
        <v>16</v>
      </c>
      <c r="F102" t="s">
        <v>89</v>
      </c>
      <c r="G102" t="s">
        <v>27</v>
      </c>
      <c r="H102">
        <v>1</v>
      </c>
      <c r="I102">
        <v>4799</v>
      </c>
      <c r="J102">
        <v>4799</v>
      </c>
    </row>
    <row r="103" spans="1:10" x14ac:dyDescent="0.3">
      <c r="A103">
        <v>1064</v>
      </c>
      <c r="B103" t="s">
        <v>33</v>
      </c>
      <c r="C103" t="str">
        <f>TEXT(Sales[[#This Row],[Order_Date]],"mmm")</f>
        <v>Nov</v>
      </c>
      <c r="D103" t="s">
        <v>231</v>
      </c>
      <c r="E103" t="s">
        <v>25</v>
      </c>
      <c r="F103" t="s">
        <v>136</v>
      </c>
      <c r="G103" t="s">
        <v>22</v>
      </c>
      <c r="H103">
        <v>2</v>
      </c>
      <c r="I103">
        <v>571</v>
      </c>
      <c r="J103">
        <v>1142</v>
      </c>
    </row>
    <row r="104" spans="1:10" x14ac:dyDescent="0.3">
      <c r="A104">
        <v>1504</v>
      </c>
      <c r="B104" t="s">
        <v>232</v>
      </c>
      <c r="C104" t="str">
        <f>TEXT(Sales[[#This Row],[Order_Date]],"mmm")</f>
        <v>Feb</v>
      </c>
      <c r="D104" t="s">
        <v>77</v>
      </c>
      <c r="E104" t="s">
        <v>11</v>
      </c>
      <c r="F104" t="s">
        <v>17</v>
      </c>
      <c r="G104" t="s">
        <v>18</v>
      </c>
      <c r="H104">
        <v>4</v>
      </c>
      <c r="I104">
        <v>3239</v>
      </c>
      <c r="J104">
        <v>12956</v>
      </c>
    </row>
    <row r="105" spans="1:10" x14ac:dyDescent="0.3">
      <c r="A105">
        <v>1553</v>
      </c>
      <c r="B105" t="s">
        <v>94</v>
      </c>
      <c r="C105" t="str">
        <f>TEXT(Sales[[#This Row],[Order_Date]],"mmm")</f>
        <v>Aug</v>
      </c>
      <c r="D105" t="s">
        <v>71</v>
      </c>
      <c r="E105" t="s">
        <v>16</v>
      </c>
      <c r="F105" t="s">
        <v>17</v>
      </c>
      <c r="G105" t="s">
        <v>53</v>
      </c>
      <c r="H105">
        <v>5</v>
      </c>
      <c r="I105">
        <v>3543</v>
      </c>
      <c r="J105">
        <v>17715</v>
      </c>
    </row>
    <row r="106" spans="1:10" x14ac:dyDescent="0.3">
      <c r="A106">
        <v>1379</v>
      </c>
      <c r="B106" t="s">
        <v>233</v>
      </c>
      <c r="C106" t="str">
        <f>TEXT(Sales[[#This Row],[Order_Date]],"mmm")</f>
        <v>Apr</v>
      </c>
      <c r="D106" t="s">
        <v>199</v>
      </c>
      <c r="E106" t="s">
        <v>25</v>
      </c>
      <c r="F106" t="s">
        <v>136</v>
      </c>
      <c r="G106" t="s">
        <v>128</v>
      </c>
      <c r="H106">
        <v>3</v>
      </c>
      <c r="I106">
        <v>4660</v>
      </c>
      <c r="J106">
        <v>13980</v>
      </c>
    </row>
    <row r="107" spans="1:10" x14ac:dyDescent="0.3">
      <c r="A107">
        <v>1062</v>
      </c>
      <c r="B107" t="s">
        <v>234</v>
      </c>
      <c r="C107" t="str">
        <f>TEXT(Sales[[#This Row],[Order_Date]],"mmm")</f>
        <v>Jul</v>
      </c>
      <c r="D107" t="s">
        <v>177</v>
      </c>
      <c r="E107" t="s">
        <v>25</v>
      </c>
      <c r="F107" t="s">
        <v>17</v>
      </c>
      <c r="G107" t="s">
        <v>72</v>
      </c>
      <c r="H107">
        <v>2</v>
      </c>
      <c r="I107">
        <v>374</v>
      </c>
      <c r="J107">
        <v>748</v>
      </c>
    </row>
    <row r="108" spans="1:10" x14ac:dyDescent="0.3">
      <c r="A108">
        <v>1128</v>
      </c>
      <c r="B108" t="s">
        <v>235</v>
      </c>
      <c r="C108" t="str">
        <f>TEXT(Sales[[#This Row],[Order_Date]],"mmm")</f>
        <v>Oct</v>
      </c>
      <c r="D108" t="s">
        <v>236</v>
      </c>
      <c r="E108" t="s">
        <v>16</v>
      </c>
      <c r="F108" t="s">
        <v>83</v>
      </c>
      <c r="G108" t="s">
        <v>57</v>
      </c>
      <c r="H108">
        <v>2</v>
      </c>
      <c r="I108">
        <v>2891</v>
      </c>
      <c r="J108">
        <v>5782</v>
      </c>
    </row>
    <row r="109" spans="1:10" x14ac:dyDescent="0.3">
      <c r="A109">
        <v>1002</v>
      </c>
      <c r="B109" t="s">
        <v>237</v>
      </c>
      <c r="C109" t="str">
        <f>TEXT(Sales[[#This Row],[Order_Date]],"mmm")</f>
        <v>May</v>
      </c>
      <c r="D109" t="s">
        <v>238</v>
      </c>
      <c r="E109" t="s">
        <v>11</v>
      </c>
      <c r="F109" t="s">
        <v>17</v>
      </c>
      <c r="G109" t="s">
        <v>114</v>
      </c>
      <c r="H109">
        <v>1</v>
      </c>
      <c r="I109">
        <v>411</v>
      </c>
      <c r="J109">
        <v>411</v>
      </c>
    </row>
    <row r="110" spans="1:10" x14ac:dyDescent="0.3">
      <c r="A110">
        <v>1243</v>
      </c>
      <c r="B110" t="s">
        <v>174</v>
      </c>
      <c r="C110" t="str">
        <f>TEXT(Sales[[#This Row],[Order_Date]],"mmm")</f>
        <v>Oct</v>
      </c>
      <c r="D110" t="s">
        <v>239</v>
      </c>
      <c r="E110" t="s">
        <v>42</v>
      </c>
      <c r="F110" t="s">
        <v>83</v>
      </c>
      <c r="G110" t="s">
        <v>93</v>
      </c>
      <c r="H110">
        <v>2</v>
      </c>
      <c r="I110">
        <v>3648</v>
      </c>
      <c r="J110">
        <v>7296</v>
      </c>
    </row>
    <row r="111" spans="1:10" x14ac:dyDescent="0.3">
      <c r="A111">
        <v>1487</v>
      </c>
      <c r="B111" t="s">
        <v>240</v>
      </c>
      <c r="C111" t="str">
        <f>TEXT(Sales[[#This Row],[Order_Date]],"mmm")</f>
        <v>Aug</v>
      </c>
      <c r="D111" t="s">
        <v>241</v>
      </c>
      <c r="E111" t="s">
        <v>16</v>
      </c>
      <c r="F111" t="s">
        <v>89</v>
      </c>
      <c r="G111" t="s">
        <v>133</v>
      </c>
      <c r="H111">
        <v>5</v>
      </c>
      <c r="I111">
        <v>2014</v>
      </c>
      <c r="J111">
        <v>10070</v>
      </c>
    </row>
    <row r="112" spans="1:10" x14ac:dyDescent="0.3">
      <c r="A112">
        <v>1533</v>
      </c>
      <c r="B112" t="s">
        <v>242</v>
      </c>
      <c r="C112" t="str">
        <f>TEXT(Sales[[#This Row],[Order_Date]],"mmm")</f>
        <v>Jun</v>
      </c>
      <c r="D112" t="s">
        <v>243</v>
      </c>
      <c r="E112" t="s">
        <v>11</v>
      </c>
      <c r="F112" t="s">
        <v>83</v>
      </c>
      <c r="G112" t="s">
        <v>32</v>
      </c>
      <c r="H112">
        <v>4</v>
      </c>
      <c r="I112">
        <v>1084</v>
      </c>
      <c r="J112">
        <v>4336</v>
      </c>
    </row>
    <row r="113" spans="1:10" x14ac:dyDescent="0.3">
      <c r="A113">
        <v>1075</v>
      </c>
      <c r="B113" t="s">
        <v>145</v>
      </c>
      <c r="C113" t="str">
        <f>TEXT(Sales[[#This Row],[Order_Date]],"mmm")</f>
        <v>Feb</v>
      </c>
      <c r="D113" t="s">
        <v>239</v>
      </c>
      <c r="E113" t="s">
        <v>42</v>
      </c>
      <c r="F113" t="s">
        <v>17</v>
      </c>
      <c r="G113" t="s">
        <v>72</v>
      </c>
      <c r="H113">
        <v>5</v>
      </c>
      <c r="I113">
        <v>4995</v>
      </c>
      <c r="J113">
        <v>24975</v>
      </c>
    </row>
    <row r="114" spans="1:10" x14ac:dyDescent="0.3">
      <c r="A114">
        <v>1543</v>
      </c>
      <c r="B114" t="s">
        <v>244</v>
      </c>
      <c r="C114" t="str">
        <f>TEXT(Sales[[#This Row],[Order_Date]],"mmm")</f>
        <v>May</v>
      </c>
      <c r="D114" t="s">
        <v>204</v>
      </c>
      <c r="E114" t="s">
        <v>16</v>
      </c>
      <c r="F114" t="s">
        <v>136</v>
      </c>
      <c r="G114" t="s">
        <v>124</v>
      </c>
      <c r="H114">
        <v>4</v>
      </c>
      <c r="I114">
        <v>3899</v>
      </c>
      <c r="J114">
        <v>15596</v>
      </c>
    </row>
    <row r="115" spans="1:10" x14ac:dyDescent="0.3">
      <c r="A115">
        <v>1464</v>
      </c>
      <c r="B115" t="s">
        <v>137</v>
      </c>
      <c r="C115" t="str">
        <f>TEXT(Sales[[#This Row],[Order_Date]],"mmm")</f>
        <v>Jul</v>
      </c>
      <c r="D115" t="s">
        <v>245</v>
      </c>
      <c r="E115" t="s">
        <v>25</v>
      </c>
      <c r="F115" t="s">
        <v>83</v>
      </c>
      <c r="G115" t="s">
        <v>112</v>
      </c>
      <c r="H115">
        <v>3</v>
      </c>
      <c r="I115">
        <v>3266</v>
      </c>
      <c r="J115">
        <v>9798</v>
      </c>
    </row>
    <row r="116" spans="1:10" x14ac:dyDescent="0.3">
      <c r="A116">
        <v>1485</v>
      </c>
      <c r="B116" t="s">
        <v>246</v>
      </c>
      <c r="C116" t="str">
        <f>TEXT(Sales[[#This Row],[Order_Date]],"mmm")</f>
        <v>Feb</v>
      </c>
      <c r="D116" t="s">
        <v>247</v>
      </c>
      <c r="E116" t="s">
        <v>25</v>
      </c>
      <c r="F116" t="s">
        <v>83</v>
      </c>
      <c r="G116" t="s">
        <v>32</v>
      </c>
      <c r="H116">
        <v>3</v>
      </c>
      <c r="I116">
        <v>1265</v>
      </c>
      <c r="J116">
        <v>3795</v>
      </c>
    </row>
    <row r="117" spans="1:10" x14ac:dyDescent="0.3">
      <c r="A117">
        <v>1575</v>
      </c>
      <c r="B117" t="s">
        <v>248</v>
      </c>
      <c r="C117" t="str">
        <f>TEXT(Sales[[#This Row],[Order_Date]],"mmm")</f>
        <v>Oct</v>
      </c>
      <c r="D117" t="s">
        <v>249</v>
      </c>
      <c r="E117" t="s">
        <v>11</v>
      </c>
      <c r="F117" t="s">
        <v>83</v>
      </c>
      <c r="G117" t="s">
        <v>78</v>
      </c>
      <c r="H117">
        <v>1</v>
      </c>
      <c r="I117">
        <v>2556</v>
      </c>
      <c r="J117">
        <v>2556</v>
      </c>
    </row>
    <row r="118" spans="1:10" x14ac:dyDescent="0.3">
      <c r="A118">
        <v>1591</v>
      </c>
      <c r="B118" t="s">
        <v>205</v>
      </c>
      <c r="C118" t="str">
        <f>TEXT(Sales[[#This Row],[Order_Date]],"mmm")</f>
        <v>Sep</v>
      </c>
      <c r="D118" t="s">
        <v>44</v>
      </c>
      <c r="E118" t="s">
        <v>25</v>
      </c>
      <c r="F118" t="s">
        <v>17</v>
      </c>
      <c r="G118" t="s">
        <v>53</v>
      </c>
      <c r="H118">
        <v>3</v>
      </c>
      <c r="I118">
        <v>4756</v>
      </c>
      <c r="J118">
        <v>14268</v>
      </c>
    </row>
    <row r="119" spans="1:10" x14ac:dyDescent="0.3">
      <c r="A119">
        <v>1587</v>
      </c>
      <c r="B119" t="s">
        <v>250</v>
      </c>
      <c r="C119" t="str">
        <f>TEXT(Sales[[#This Row],[Order_Date]],"mmm")</f>
        <v>Apr</v>
      </c>
      <c r="D119" t="s">
        <v>251</v>
      </c>
      <c r="E119" t="s">
        <v>42</v>
      </c>
      <c r="F119" t="s">
        <v>136</v>
      </c>
      <c r="G119" t="s">
        <v>67</v>
      </c>
      <c r="H119">
        <v>1</v>
      </c>
      <c r="I119">
        <v>1677</v>
      </c>
      <c r="J119">
        <v>1677</v>
      </c>
    </row>
    <row r="120" spans="1:10" x14ac:dyDescent="0.3">
      <c r="A120">
        <v>1347</v>
      </c>
      <c r="B120" t="s">
        <v>117</v>
      </c>
      <c r="C120" t="str">
        <f>TEXT(Sales[[#This Row],[Order_Date]],"mmm")</f>
        <v>Jun</v>
      </c>
      <c r="D120" t="s">
        <v>252</v>
      </c>
      <c r="E120" t="s">
        <v>25</v>
      </c>
      <c r="F120" t="s">
        <v>17</v>
      </c>
      <c r="G120" t="s">
        <v>114</v>
      </c>
      <c r="H120">
        <v>2</v>
      </c>
      <c r="I120">
        <v>451</v>
      </c>
      <c r="J120">
        <v>902</v>
      </c>
    </row>
    <row r="121" spans="1:10" x14ac:dyDescent="0.3">
      <c r="A121">
        <v>1385</v>
      </c>
      <c r="B121" t="s">
        <v>94</v>
      </c>
      <c r="C121" t="str">
        <f>TEXT(Sales[[#This Row],[Order_Date]],"mmm")</f>
        <v>Aug</v>
      </c>
      <c r="D121" t="s">
        <v>204</v>
      </c>
      <c r="E121" t="s">
        <v>42</v>
      </c>
      <c r="F121" t="s">
        <v>89</v>
      </c>
      <c r="G121" t="s">
        <v>13</v>
      </c>
      <c r="H121">
        <v>3</v>
      </c>
      <c r="I121">
        <v>4849</v>
      </c>
      <c r="J121">
        <v>14547</v>
      </c>
    </row>
    <row r="122" spans="1:10" x14ac:dyDescent="0.3">
      <c r="A122">
        <v>1159</v>
      </c>
      <c r="B122" t="s">
        <v>253</v>
      </c>
      <c r="C122" t="str">
        <f>TEXT(Sales[[#This Row],[Order_Date]],"mmm")</f>
        <v>Mar</v>
      </c>
      <c r="D122" t="s">
        <v>224</v>
      </c>
      <c r="E122" t="s">
        <v>16</v>
      </c>
      <c r="F122" t="s">
        <v>83</v>
      </c>
      <c r="G122" t="s">
        <v>32</v>
      </c>
      <c r="H122">
        <v>4</v>
      </c>
      <c r="I122">
        <v>4178</v>
      </c>
      <c r="J122">
        <v>16712</v>
      </c>
    </row>
    <row r="123" spans="1:10" x14ac:dyDescent="0.3">
      <c r="A123">
        <v>1220</v>
      </c>
      <c r="B123" t="s">
        <v>254</v>
      </c>
      <c r="C123" t="str">
        <f>TEXT(Sales[[#This Row],[Order_Date]],"mmm")</f>
        <v>Sep</v>
      </c>
      <c r="D123" t="s">
        <v>157</v>
      </c>
      <c r="E123" t="s">
        <v>42</v>
      </c>
      <c r="F123" t="s">
        <v>89</v>
      </c>
      <c r="G123" t="s">
        <v>75</v>
      </c>
      <c r="H123">
        <v>5</v>
      </c>
      <c r="I123">
        <v>4186</v>
      </c>
      <c r="J123">
        <v>20930</v>
      </c>
    </row>
    <row r="124" spans="1:10" x14ac:dyDescent="0.3">
      <c r="A124">
        <v>1225</v>
      </c>
      <c r="B124" t="s">
        <v>255</v>
      </c>
      <c r="C124" t="str">
        <f>TEXT(Sales[[#This Row],[Order_Date]],"mmm")</f>
        <v>Jul</v>
      </c>
      <c r="D124" t="s">
        <v>256</v>
      </c>
      <c r="E124" t="s">
        <v>42</v>
      </c>
      <c r="F124" t="s">
        <v>83</v>
      </c>
      <c r="G124" t="s">
        <v>32</v>
      </c>
      <c r="H124">
        <v>2</v>
      </c>
      <c r="I124">
        <v>1324</v>
      </c>
      <c r="J124">
        <v>2648</v>
      </c>
    </row>
    <row r="125" spans="1:10" x14ac:dyDescent="0.3">
      <c r="A125">
        <v>1122</v>
      </c>
      <c r="B125" t="s">
        <v>257</v>
      </c>
      <c r="C125" t="str">
        <f>TEXT(Sales[[#This Row],[Order_Date]],"mmm")</f>
        <v>Jan</v>
      </c>
      <c r="D125" t="s">
        <v>258</v>
      </c>
      <c r="E125" t="s">
        <v>11</v>
      </c>
      <c r="F125" t="s">
        <v>136</v>
      </c>
      <c r="G125" t="s">
        <v>128</v>
      </c>
      <c r="H125">
        <v>5</v>
      </c>
      <c r="I125">
        <v>2085</v>
      </c>
      <c r="J125">
        <v>10425</v>
      </c>
    </row>
    <row r="126" spans="1:10" x14ac:dyDescent="0.3">
      <c r="A126">
        <v>1362</v>
      </c>
      <c r="B126" t="s">
        <v>259</v>
      </c>
      <c r="C126" t="str">
        <f>TEXT(Sales[[#This Row],[Order_Date]],"mmm")</f>
        <v>Feb</v>
      </c>
      <c r="D126" t="s">
        <v>260</v>
      </c>
      <c r="E126" t="s">
        <v>16</v>
      </c>
      <c r="F126" t="s">
        <v>83</v>
      </c>
      <c r="G126" t="s">
        <v>78</v>
      </c>
      <c r="H126">
        <v>1</v>
      </c>
      <c r="I126">
        <v>2764</v>
      </c>
      <c r="J126">
        <v>2764</v>
      </c>
    </row>
    <row r="127" spans="1:10" x14ac:dyDescent="0.3">
      <c r="A127">
        <v>1427</v>
      </c>
      <c r="B127" t="s">
        <v>261</v>
      </c>
      <c r="C127" t="str">
        <f>TEXT(Sales[[#This Row],[Order_Date]],"mmm")</f>
        <v>May</v>
      </c>
      <c r="D127" t="s">
        <v>157</v>
      </c>
      <c r="E127" t="s">
        <v>11</v>
      </c>
      <c r="F127" t="s">
        <v>136</v>
      </c>
      <c r="G127" t="s">
        <v>124</v>
      </c>
      <c r="H127">
        <v>5</v>
      </c>
      <c r="I127">
        <v>3969</v>
      </c>
      <c r="J127">
        <v>19845</v>
      </c>
    </row>
    <row r="128" spans="1:10" x14ac:dyDescent="0.3">
      <c r="A128">
        <v>1090</v>
      </c>
      <c r="B128" t="s">
        <v>262</v>
      </c>
      <c r="C128" t="str">
        <f>TEXT(Sales[[#This Row],[Order_Date]],"mmm")</f>
        <v>Aug</v>
      </c>
      <c r="D128" t="s">
        <v>263</v>
      </c>
      <c r="E128" t="s">
        <v>11</v>
      </c>
      <c r="F128" t="s">
        <v>83</v>
      </c>
      <c r="G128" t="s">
        <v>93</v>
      </c>
      <c r="H128">
        <v>5</v>
      </c>
      <c r="I128">
        <v>844</v>
      </c>
      <c r="J128">
        <v>4220</v>
      </c>
    </row>
    <row r="129" spans="1:10" x14ac:dyDescent="0.3">
      <c r="A129">
        <v>1347</v>
      </c>
      <c r="B129" t="s">
        <v>264</v>
      </c>
      <c r="C129" t="str">
        <f>TEXT(Sales[[#This Row],[Order_Date]],"mmm")</f>
        <v>Apr</v>
      </c>
      <c r="D129" t="s">
        <v>265</v>
      </c>
      <c r="E129" t="s">
        <v>16</v>
      </c>
      <c r="F129" t="s">
        <v>17</v>
      </c>
      <c r="G129" t="s">
        <v>72</v>
      </c>
      <c r="H129">
        <v>3</v>
      </c>
      <c r="I129">
        <v>3076</v>
      </c>
      <c r="J129">
        <v>9228</v>
      </c>
    </row>
    <row r="130" spans="1:10" x14ac:dyDescent="0.3">
      <c r="A130">
        <v>1151</v>
      </c>
      <c r="B130" t="s">
        <v>266</v>
      </c>
      <c r="C130" t="str">
        <f>TEXT(Sales[[#This Row],[Order_Date]],"mmm")</f>
        <v>Apr</v>
      </c>
      <c r="D130" t="s">
        <v>267</v>
      </c>
      <c r="E130" t="s">
        <v>11</v>
      </c>
      <c r="F130" t="s">
        <v>17</v>
      </c>
      <c r="G130" t="s">
        <v>101</v>
      </c>
      <c r="H130">
        <v>5</v>
      </c>
      <c r="I130">
        <v>1452</v>
      </c>
      <c r="J130">
        <v>7260</v>
      </c>
    </row>
    <row r="131" spans="1:10" x14ac:dyDescent="0.3">
      <c r="A131">
        <v>1181</v>
      </c>
      <c r="B131" t="s">
        <v>268</v>
      </c>
      <c r="C131" t="str">
        <f>TEXT(Sales[[#This Row],[Order_Date]],"mmm")</f>
        <v>Nov</v>
      </c>
      <c r="D131" t="s">
        <v>269</v>
      </c>
      <c r="E131" t="s">
        <v>25</v>
      </c>
      <c r="F131" t="s">
        <v>136</v>
      </c>
      <c r="G131" t="s">
        <v>67</v>
      </c>
      <c r="H131">
        <v>3</v>
      </c>
      <c r="I131">
        <v>1436</v>
      </c>
      <c r="J131">
        <v>4308</v>
      </c>
    </row>
    <row r="132" spans="1:10" x14ac:dyDescent="0.3">
      <c r="A132">
        <v>1310</v>
      </c>
      <c r="B132" t="s">
        <v>270</v>
      </c>
      <c r="C132" t="str">
        <f>TEXT(Sales[[#This Row],[Order_Date]],"mmm")</f>
        <v>May</v>
      </c>
      <c r="D132" t="s">
        <v>271</v>
      </c>
      <c r="E132" t="s">
        <v>42</v>
      </c>
      <c r="F132" t="s">
        <v>83</v>
      </c>
      <c r="G132" t="s">
        <v>112</v>
      </c>
      <c r="H132">
        <v>4</v>
      </c>
      <c r="I132">
        <v>3902</v>
      </c>
      <c r="J132">
        <v>15608</v>
      </c>
    </row>
    <row r="133" spans="1:10" x14ac:dyDescent="0.3">
      <c r="A133">
        <v>1293</v>
      </c>
      <c r="B133" t="s">
        <v>272</v>
      </c>
      <c r="C133" t="str">
        <f>TEXT(Sales[[#This Row],[Order_Date]],"mmm")</f>
        <v>Feb</v>
      </c>
      <c r="D133" t="s">
        <v>273</v>
      </c>
      <c r="E133" t="s">
        <v>16</v>
      </c>
      <c r="F133" t="s">
        <v>83</v>
      </c>
      <c r="G133" t="s">
        <v>57</v>
      </c>
      <c r="H133">
        <v>5</v>
      </c>
      <c r="I133">
        <v>4740</v>
      </c>
      <c r="J133">
        <v>23700</v>
      </c>
    </row>
    <row r="134" spans="1:10" x14ac:dyDescent="0.3">
      <c r="A134">
        <v>1042</v>
      </c>
      <c r="B134" t="s">
        <v>184</v>
      </c>
      <c r="C134" t="str">
        <f>TEXT(Sales[[#This Row],[Order_Date]],"mmm")</f>
        <v>Aug</v>
      </c>
      <c r="D134" t="s">
        <v>274</v>
      </c>
      <c r="E134" t="s">
        <v>11</v>
      </c>
      <c r="F134" t="s">
        <v>17</v>
      </c>
      <c r="G134" t="s">
        <v>101</v>
      </c>
      <c r="H134">
        <v>1</v>
      </c>
      <c r="I134">
        <v>3890</v>
      </c>
      <c r="J134">
        <v>3890</v>
      </c>
    </row>
    <row r="135" spans="1:10" x14ac:dyDescent="0.3">
      <c r="A135">
        <v>1351</v>
      </c>
      <c r="B135" t="s">
        <v>68</v>
      </c>
      <c r="C135" t="str">
        <f>TEXT(Sales[[#This Row],[Order_Date]],"mmm")</f>
        <v>Dec</v>
      </c>
      <c r="D135" t="s">
        <v>132</v>
      </c>
      <c r="E135" t="s">
        <v>16</v>
      </c>
      <c r="F135" t="s">
        <v>17</v>
      </c>
      <c r="G135" t="s">
        <v>72</v>
      </c>
      <c r="H135">
        <v>4</v>
      </c>
      <c r="I135">
        <v>4493</v>
      </c>
      <c r="J135">
        <v>17972</v>
      </c>
    </row>
    <row r="136" spans="1:10" x14ac:dyDescent="0.3">
      <c r="A136">
        <v>1381</v>
      </c>
      <c r="B136" t="s">
        <v>275</v>
      </c>
      <c r="C136" t="str">
        <f>TEXT(Sales[[#This Row],[Order_Date]],"mmm")</f>
        <v>May</v>
      </c>
      <c r="D136" t="s">
        <v>276</v>
      </c>
      <c r="E136" t="s">
        <v>25</v>
      </c>
      <c r="F136" t="s">
        <v>136</v>
      </c>
      <c r="G136" t="s">
        <v>22</v>
      </c>
      <c r="H136">
        <v>1</v>
      </c>
      <c r="I136">
        <v>2900</v>
      </c>
      <c r="J136">
        <v>2900</v>
      </c>
    </row>
    <row r="137" spans="1:10" x14ac:dyDescent="0.3">
      <c r="A137">
        <v>1290</v>
      </c>
      <c r="B137" t="s">
        <v>277</v>
      </c>
      <c r="C137" t="str">
        <f>TEXT(Sales[[#This Row],[Order_Date]],"mmm")</f>
        <v>May</v>
      </c>
      <c r="D137" t="s">
        <v>278</v>
      </c>
      <c r="E137" t="s">
        <v>11</v>
      </c>
      <c r="F137" t="s">
        <v>17</v>
      </c>
      <c r="G137" t="s">
        <v>101</v>
      </c>
      <c r="H137">
        <v>3</v>
      </c>
      <c r="I137">
        <v>2741</v>
      </c>
      <c r="J137">
        <v>8223</v>
      </c>
    </row>
    <row r="138" spans="1:10" x14ac:dyDescent="0.3">
      <c r="A138">
        <v>1401</v>
      </c>
      <c r="B138" t="s">
        <v>279</v>
      </c>
      <c r="C138" t="str">
        <f>TEXT(Sales[[#This Row],[Order_Date]],"mmm")</f>
        <v>Mar</v>
      </c>
      <c r="D138" t="s">
        <v>189</v>
      </c>
      <c r="E138" t="s">
        <v>25</v>
      </c>
      <c r="F138" t="s">
        <v>83</v>
      </c>
      <c r="G138" t="s">
        <v>112</v>
      </c>
      <c r="H138">
        <v>2</v>
      </c>
      <c r="I138">
        <v>4512</v>
      </c>
      <c r="J138">
        <v>9024</v>
      </c>
    </row>
    <row r="139" spans="1:10" x14ac:dyDescent="0.3">
      <c r="A139">
        <v>1520</v>
      </c>
      <c r="B139" t="s">
        <v>280</v>
      </c>
      <c r="C139" t="str">
        <f>TEXT(Sales[[#This Row],[Order_Date]],"mmm")</f>
        <v>Jul</v>
      </c>
      <c r="D139" t="s">
        <v>281</v>
      </c>
      <c r="E139" t="s">
        <v>16</v>
      </c>
      <c r="F139" t="s">
        <v>89</v>
      </c>
      <c r="G139" t="s">
        <v>95</v>
      </c>
      <c r="H139">
        <v>3</v>
      </c>
      <c r="I139">
        <v>4183</v>
      </c>
      <c r="J139">
        <v>12549</v>
      </c>
    </row>
    <row r="140" spans="1:10" x14ac:dyDescent="0.3">
      <c r="A140">
        <v>1158</v>
      </c>
      <c r="B140" t="s">
        <v>272</v>
      </c>
      <c r="C140" t="str">
        <f>TEXT(Sales[[#This Row],[Order_Date]],"mmm")</f>
        <v>Feb</v>
      </c>
      <c r="D140" t="s">
        <v>282</v>
      </c>
      <c r="E140" t="s">
        <v>25</v>
      </c>
      <c r="F140" t="s">
        <v>83</v>
      </c>
      <c r="G140" t="s">
        <v>57</v>
      </c>
      <c r="H140">
        <v>5</v>
      </c>
      <c r="I140">
        <v>1273</v>
      </c>
      <c r="J140">
        <v>6365</v>
      </c>
    </row>
    <row r="141" spans="1:10" x14ac:dyDescent="0.3">
      <c r="A141">
        <v>1185</v>
      </c>
      <c r="B141" t="s">
        <v>283</v>
      </c>
      <c r="C141" t="str">
        <f>TEXT(Sales[[#This Row],[Order_Date]],"mmm")</f>
        <v>Dec</v>
      </c>
      <c r="D141" t="s">
        <v>284</v>
      </c>
      <c r="E141" t="s">
        <v>11</v>
      </c>
      <c r="F141" t="s">
        <v>17</v>
      </c>
      <c r="G141" t="s">
        <v>53</v>
      </c>
      <c r="H141">
        <v>3</v>
      </c>
      <c r="I141">
        <v>2145</v>
      </c>
      <c r="J141">
        <v>6435</v>
      </c>
    </row>
    <row r="142" spans="1:10" x14ac:dyDescent="0.3">
      <c r="A142">
        <v>1459</v>
      </c>
      <c r="B142" t="s">
        <v>285</v>
      </c>
      <c r="C142" t="str">
        <f>TEXT(Sales[[#This Row],[Order_Date]],"mmm")</f>
        <v>Apr</v>
      </c>
      <c r="D142" t="s">
        <v>286</v>
      </c>
      <c r="E142" t="s">
        <v>16</v>
      </c>
      <c r="F142" t="s">
        <v>17</v>
      </c>
      <c r="G142" t="s">
        <v>101</v>
      </c>
      <c r="H142">
        <v>3</v>
      </c>
      <c r="I142">
        <v>4872</v>
      </c>
      <c r="J142">
        <v>14616</v>
      </c>
    </row>
    <row r="143" spans="1:10" x14ac:dyDescent="0.3">
      <c r="A143">
        <v>1288</v>
      </c>
      <c r="B143" t="s">
        <v>287</v>
      </c>
      <c r="C143" t="str">
        <f>TEXT(Sales[[#This Row],[Order_Date]],"mmm")</f>
        <v>Jul</v>
      </c>
      <c r="D143" t="s">
        <v>288</v>
      </c>
      <c r="E143" t="s">
        <v>11</v>
      </c>
      <c r="F143" t="s">
        <v>136</v>
      </c>
      <c r="G143" t="s">
        <v>128</v>
      </c>
      <c r="H143">
        <v>3</v>
      </c>
      <c r="I143">
        <v>627</v>
      </c>
      <c r="J143">
        <v>1881</v>
      </c>
    </row>
    <row r="144" spans="1:10" x14ac:dyDescent="0.3">
      <c r="A144">
        <v>1567</v>
      </c>
      <c r="B144" t="s">
        <v>160</v>
      </c>
      <c r="C144" t="str">
        <f>TEXT(Sales[[#This Row],[Order_Date]],"mmm")</f>
        <v>Feb</v>
      </c>
      <c r="D144" t="s">
        <v>289</v>
      </c>
      <c r="E144" t="s">
        <v>11</v>
      </c>
      <c r="F144" t="s">
        <v>83</v>
      </c>
      <c r="G144" t="s">
        <v>112</v>
      </c>
      <c r="H144">
        <v>3</v>
      </c>
      <c r="I144">
        <v>3880</v>
      </c>
      <c r="J144">
        <v>11640</v>
      </c>
    </row>
    <row r="145" spans="1:10" x14ac:dyDescent="0.3">
      <c r="A145">
        <v>1447</v>
      </c>
      <c r="B145" t="s">
        <v>290</v>
      </c>
      <c r="C145" t="str">
        <f>TEXT(Sales[[#This Row],[Order_Date]],"mmm")</f>
        <v>Feb</v>
      </c>
      <c r="D145" t="s">
        <v>202</v>
      </c>
      <c r="E145" t="s">
        <v>42</v>
      </c>
      <c r="F145" t="s">
        <v>17</v>
      </c>
      <c r="G145" t="s">
        <v>53</v>
      </c>
      <c r="H145">
        <v>4</v>
      </c>
      <c r="I145">
        <v>636</v>
      </c>
      <c r="J145">
        <v>2544</v>
      </c>
    </row>
    <row r="146" spans="1:10" x14ac:dyDescent="0.3">
      <c r="A146">
        <v>1395</v>
      </c>
      <c r="B146" t="s">
        <v>145</v>
      </c>
      <c r="C146" t="str">
        <f>TEXT(Sales[[#This Row],[Order_Date]],"mmm")</f>
        <v>Feb</v>
      </c>
      <c r="D146" t="s">
        <v>291</v>
      </c>
      <c r="E146" t="s">
        <v>25</v>
      </c>
      <c r="F146" t="s">
        <v>17</v>
      </c>
      <c r="G146" t="s">
        <v>72</v>
      </c>
      <c r="H146">
        <v>3</v>
      </c>
      <c r="I146">
        <v>1396</v>
      </c>
      <c r="J146">
        <v>4188</v>
      </c>
    </row>
    <row r="147" spans="1:10" x14ac:dyDescent="0.3">
      <c r="A147">
        <v>1483</v>
      </c>
      <c r="B147" t="s">
        <v>292</v>
      </c>
      <c r="C147" t="str">
        <f>TEXT(Sales[[#This Row],[Order_Date]],"mmm")</f>
        <v>Dec</v>
      </c>
      <c r="D147" t="s">
        <v>293</v>
      </c>
      <c r="E147" t="s">
        <v>42</v>
      </c>
      <c r="F147" t="s">
        <v>17</v>
      </c>
      <c r="G147" t="s">
        <v>53</v>
      </c>
      <c r="H147">
        <v>1</v>
      </c>
      <c r="I147">
        <v>355</v>
      </c>
      <c r="J147">
        <v>355</v>
      </c>
    </row>
    <row r="148" spans="1:10" x14ac:dyDescent="0.3">
      <c r="A148">
        <v>1561</v>
      </c>
      <c r="B148" t="s">
        <v>37</v>
      </c>
      <c r="C148" t="str">
        <f>TEXT(Sales[[#This Row],[Order_Date]],"mmm")</f>
        <v>Nov</v>
      </c>
      <c r="D148" t="s">
        <v>294</v>
      </c>
      <c r="E148" t="s">
        <v>16</v>
      </c>
      <c r="F148" t="s">
        <v>136</v>
      </c>
      <c r="G148" t="s">
        <v>124</v>
      </c>
      <c r="H148">
        <v>3</v>
      </c>
      <c r="I148">
        <v>1198</v>
      </c>
      <c r="J148">
        <v>3594</v>
      </c>
    </row>
    <row r="149" spans="1:10" x14ac:dyDescent="0.3">
      <c r="A149">
        <v>1468</v>
      </c>
      <c r="B149" t="s">
        <v>295</v>
      </c>
      <c r="C149" t="str">
        <f>TEXT(Sales[[#This Row],[Order_Date]],"mmm")</f>
        <v>Feb</v>
      </c>
      <c r="D149" t="s">
        <v>296</v>
      </c>
      <c r="E149" t="s">
        <v>16</v>
      </c>
      <c r="F149" t="s">
        <v>136</v>
      </c>
      <c r="G149" t="s">
        <v>67</v>
      </c>
      <c r="H149">
        <v>2</v>
      </c>
      <c r="I149">
        <v>2586</v>
      </c>
      <c r="J149">
        <v>5172</v>
      </c>
    </row>
    <row r="150" spans="1:10" x14ac:dyDescent="0.3">
      <c r="A150">
        <v>1246</v>
      </c>
      <c r="B150" t="s">
        <v>297</v>
      </c>
      <c r="C150" t="str">
        <f>TEXT(Sales[[#This Row],[Order_Date]],"mmm")</f>
        <v>Oct</v>
      </c>
      <c r="D150" t="s">
        <v>245</v>
      </c>
      <c r="E150" t="s">
        <v>25</v>
      </c>
      <c r="F150" t="s">
        <v>17</v>
      </c>
      <c r="G150" t="s">
        <v>72</v>
      </c>
      <c r="H150">
        <v>5</v>
      </c>
      <c r="I150">
        <v>4657</v>
      </c>
      <c r="J150">
        <v>23285</v>
      </c>
    </row>
    <row r="151" spans="1:10" x14ac:dyDescent="0.3">
      <c r="A151">
        <v>1567</v>
      </c>
      <c r="B151" t="s">
        <v>298</v>
      </c>
      <c r="C151" t="str">
        <f>TEXT(Sales[[#This Row],[Order_Date]],"mmm")</f>
        <v>Jan</v>
      </c>
      <c r="D151" t="s">
        <v>276</v>
      </c>
      <c r="E151" t="s">
        <v>25</v>
      </c>
      <c r="F151" t="s">
        <v>136</v>
      </c>
      <c r="G151" t="s">
        <v>124</v>
      </c>
      <c r="H151">
        <v>3</v>
      </c>
      <c r="I151">
        <v>333</v>
      </c>
      <c r="J151">
        <v>999</v>
      </c>
    </row>
    <row r="152" spans="1:10" x14ac:dyDescent="0.3">
      <c r="A152">
        <v>1246</v>
      </c>
      <c r="B152" t="s">
        <v>299</v>
      </c>
      <c r="C152" t="str">
        <f>TEXT(Sales[[#This Row],[Order_Date]],"mmm")</f>
        <v>Dec</v>
      </c>
      <c r="D152" t="s">
        <v>51</v>
      </c>
      <c r="E152" t="s">
        <v>11</v>
      </c>
      <c r="F152" t="s">
        <v>83</v>
      </c>
      <c r="G152" t="s">
        <v>57</v>
      </c>
      <c r="H152">
        <v>1</v>
      </c>
      <c r="I152">
        <v>3086</v>
      </c>
      <c r="J152">
        <v>3086</v>
      </c>
    </row>
    <row r="153" spans="1:10" x14ac:dyDescent="0.3">
      <c r="A153">
        <v>1179</v>
      </c>
      <c r="B153" t="s">
        <v>300</v>
      </c>
      <c r="C153" t="str">
        <f>TEXT(Sales[[#This Row],[Order_Date]],"mmm")</f>
        <v>Dec</v>
      </c>
      <c r="D153" t="s">
        <v>301</v>
      </c>
      <c r="E153" t="s">
        <v>25</v>
      </c>
      <c r="F153" t="s">
        <v>136</v>
      </c>
      <c r="G153" t="s">
        <v>128</v>
      </c>
      <c r="H153">
        <v>4</v>
      </c>
      <c r="I153">
        <v>502</v>
      </c>
      <c r="J153">
        <v>2008</v>
      </c>
    </row>
    <row r="154" spans="1:10" x14ac:dyDescent="0.3">
      <c r="A154">
        <v>1204</v>
      </c>
      <c r="B154" t="s">
        <v>302</v>
      </c>
      <c r="C154" t="str">
        <f>TEXT(Sales[[#This Row],[Order_Date]],"mmm")</f>
        <v>Jan</v>
      </c>
      <c r="D154" t="s">
        <v>97</v>
      </c>
      <c r="E154" t="s">
        <v>16</v>
      </c>
      <c r="F154" t="s">
        <v>89</v>
      </c>
      <c r="G154" t="s">
        <v>133</v>
      </c>
      <c r="H154">
        <v>3</v>
      </c>
      <c r="I154">
        <v>499</v>
      </c>
      <c r="J154">
        <v>1497</v>
      </c>
    </row>
    <row r="155" spans="1:10" x14ac:dyDescent="0.3">
      <c r="A155">
        <v>1365</v>
      </c>
      <c r="B155" t="s">
        <v>303</v>
      </c>
      <c r="C155" t="str">
        <f>TEXT(Sales[[#This Row],[Order_Date]],"mmm")</f>
        <v>Jan</v>
      </c>
      <c r="D155" t="s">
        <v>116</v>
      </c>
      <c r="E155" t="s">
        <v>25</v>
      </c>
      <c r="F155" t="s">
        <v>89</v>
      </c>
      <c r="G155" t="s">
        <v>95</v>
      </c>
      <c r="H155">
        <v>4</v>
      </c>
      <c r="I155">
        <v>3476</v>
      </c>
      <c r="J155">
        <v>13904</v>
      </c>
    </row>
    <row r="156" spans="1:10" x14ac:dyDescent="0.3">
      <c r="A156">
        <v>1395</v>
      </c>
      <c r="B156" t="s">
        <v>304</v>
      </c>
      <c r="C156" t="str">
        <f>TEXT(Sales[[#This Row],[Order_Date]],"mmm")</f>
        <v>Jun</v>
      </c>
      <c r="D156" t="s">
        <v>305</v>
      </c>
      <c r="E156" t="s">
        <v>25</v>
      </c>
      <c r="F156" t="s">
        <v>17</v>
      </c>
      <c r="G156" t="s">
        <v>53</v>
      </c>
      <c r="H156">
        <v>5</v>
      </c>
      <c r="I156">
        <v>2384</v>
      </c>
      <c r="J156">
        <v>11920</v>
      </c>
    </row>
    <row r="157" spans="1:10" x14ac:dyDescent="0.3">
      <c r="A157">
        <v>1080</v>
      </c>
      <c r="B157" t="s">
        <v>306</v>
      </c>
      <c r="C157" t="str">
        <f>TEXT(Sales[[#This Row],[Order_Date]],"mmm")</f>
        <v>Aug</v>
      </c>
      <c r="D157" t="s">
        <v>24</v>
      </c>
      <c r="E157" t="s">
        <v>25</v>
      </c>
      <c r="F157" t="s">
        <v>17</v>
      </c>
      <c r="G157" t="s">
        <v>18</v>
      </c>
      <c r="H157">
        <v>1</v>
      </c>
      <c r="I157">
        <v>855</v>
      </c>
      <c r="J157">
        <v>855</v>
      </c>
    </row>
    <row r="158" spans="1:10" x14ac:dyDescent="0.3">
      <c r="A158">
        <v>1456</v>
      </c>
      <c r="B158" t="s">
        <v>307</v>
      </c>
      <c r="C158" t="str">
        <f>TEXT(Sales[[#This Row],[Order_Date]],"mmm")</f>
        <v>Nov</v>
      </c>
      <c r="D158" t="s">
        <v>308</v>
      </c>
      <c r="E158" t="s">
        <v>25</v>
      </c>
      <c r="F158" t="s">
        <v>136</v>
      </c>
      <c r="G158" t="s">
        <v>128</v>
      </c>
      <c r="H158">
        <v>4</v>
      </c>
      <c r="I158">
        <v>546</v>
      </c>
      <c r="J158">
        <v>2184</v>
      </c>
    </row>
    <row r="159" spans="1:10" x14ac:dyDescent="0.3">
      <c r="A159">
        <v>1445</v>
      </c>
      <c r="B159" t="s">
        <v>270</v>
      </c>
      <c r="C159" t="str">
        <f>TEXT(Sales[[#This Row],[Order_Date]],"mmm")</f>
        <v>May</v>
      </c>
      <c r="D159" t="s">
        <v>309</v>
      </c>
      <c r="E159" t="s">
        <v>25</v>
      </c>
      <c r="F159" t="s">
        <v>83</v>
      </c>
      <c r="G159" t="s">
        <v>32</v>
      </c>
      <c r="H159">
        <v>5</v>
      </c>
      <c r="I159">
        <v>1510</v>
      </c>
      <c r="J159">
        <v>7550</v>
      </c>
    </row>
    <row r="160" spans="1:10" x14ac:dyDescent="0.3">
      <c r="A160">
        <v>1448</v>
      </c>
      <c r="B160" t="s">
        <v>310</v>
      </c>
      <c r="C160" t="str">
        <f>TEXT(Sales[[#This Row],[Order_Date]],"mmm")</f>
        <v>Jan</v>
      </c>
      <c r="D160" t="s">
        <v>311</v>
      </c>
      <c r="E160" t="s">
        <v>25</v>
      </c>
      <c r="F160" t="s">
        <v>83</v>
      </c>
      <c r="G160" t="s">
        <v>93</v>
      </c>
      <c r="H160">
        <v>4</v>
      </c>
      <c r="I160">
        <v>4846</v>
      </c>
      <c r="J160">
        <v>19384</v>
      </c>
    </row>
    <row r="161" spans="1:10" x14ac:dyDescent="0.3">
      <c r="A161">
        <v>1460</v>
      </c>
      <c r="B161" t="s">
        <v>312</v>
      </c>
      <c r="C161" t="str">
        <f>TEXT(Sales[[#This Row],[Order_Date]],"mmm")</f>
        <v>Jul</v>
      </c>
      <c r="D161" t="s">
        <v>291</v>
      </c>
      <c r="E161" t="s">
        <v>25</v>
      </c>
      <c r="F161" t="s">
        <v>136</v>
      </c>
      <c r="G161" t="s">
        <v>124</v>
      </c>
      <c r="H161">
        <v>4</v>
      </c>
      <c r="I161">
        <v>2775</v>
      </c>
      <c r="J161">
        <v>11100</v>
      </c>
    </row>
    <row r="162" spans="1:10" x14ac:dyDescent="0.3">
      <c r="A162">
        <v>1116</v>
      </c>
      <c r="B162" t="s">
        <v>313</v>
      </c>
      <c r="C162" t="str">
        <f>TEXT(Sales[[#This Row],[Order_Date]],"mmm")</f>
        <v>Jan</v>
      </c>
      <c r="D162" t="s">
        <v>314</v>
      </c>
      <c r="E162" t="s">
        <v>25</v>
      </c>
      <c r="F162" t="s">
        <v>17</v>
      </c>
      <c r="G162" t="s">
        <v>53</v>
      </c>
      <c r="H162">
        <v>3</v>
      </c>
      <c r="I162">
        <v>2332</v>
      </c>
      <c r="J162">
        <v>6996</v>
      </c>
    </row>
    <row r="163" spans="1:10" x14ac:dyDescent="0.3">
      <c r="A163">
        <v>1292</v>
      </c>
      <c r="B163" t="s">
        <v>315</v>
      </c>
      <c r="C163" t="str">
        <f>TEXT(Sales[[#This Row],[Order_Date]],"mmm")</f>
        <v>Dec</v>
      </c>
      <c r="D163" t="s">
        <v>316</v>
      </c>
      <c r="E163" t="s">
        <v>11</v>
      </c>
      <c r="F163" t="s">
        <v>136</v>
      </c>
      <c r="G163" t="s">
        <v>128</v>
      </c>
      <c r="H163">
        <v>1</v>
      </c>
      <c r="I163">
        <v>3903</v>
      </c>
      <c r="J163">
        <v>3903</v>
      </c>
    </row>
    <row r="164" spans="1:10" x14ac:dyDescent="0.3">
      <c r="A164">
        <v>1089</v>
      </c>
      <c r="B164" t="s">
        <v>317</v>
      </c>
      <c r="C164" t="str">
        <f>TEXT(Sales[[#This Row],[Order_Date]],"mmm")</f>
        <v>Dec</v>
      </c>
      <c r="D164" t="s">
        <v>318</v>
      </c>
      <c r="E164" t="s">
        <v>42</v>
      </c>
      <c r="F164" t="s">
        <v>89</v>
      </c>
      <c r="G164" t="s">
        <v>95</v>
      </c>
      <c r="H164">
        <v>3</v>
      </c>
      <c r="I164">
        <v>1490</v>
      </c>
      <c r="J164">
        <v>4470</v>
      </c>
    </row>
    <row r="165" spans="1:10" x14ac:dyDescent="0.3">
      <c r="A165">
        <v>1178</v>
      </c>
      <c r="B165" t="s">
        <v>280</v>
      </c>
      <c r="C165" t="str">
        <f>TEXT(Sales[[#This Row],[Order_Date]],"mmm")</f>
        <v>Jul</v>
      </c>
      <c r="D165" t="s">
        <v>319</v>
      </c>
      <c r="E165" t="s">
        <v>11</v>
      </c>
      <c r="F165" t="s">
        <v>17</v>
      </c>
      <c r="G165" t="s">
        <v>72</v>
      </c>
      <c r="H165">
        <v>2</v>
      </c>
      <c r="I165">
        <v>4247</v>
      </c>
      <c r="J165">
        <v>8494</v>
      </c>
    </row>
    <row r="166" spans="1:10" x14ac:dyDescent="0.3">
      <c r="A166">
        <v>1377</v>
      </c>
      <c r="B166" t="s">
        <v>320</v>
      </c>
      <c r="C166" t="str">
        <f>TEXT(Sales[[#This Row],[Order_Date]],"mmm")</f>
        <v>Aug</v>
      </c>
      <c r="D166" t="s">
        <v>321</v>
      </c>
      <c r="E166" t="s">
        <v>25</v>
      </c>
      <c r="F166" t="s">
        <v>17</v>
      </c>
      <c r="G166" t="s">
        <v>18</v>
      </c>
      <c r="H166">
        <v>3</v>
      </c>
      <c r="I166">
        <v>3461</v>
      </c>
      <c r="J166">
        <v>10383</v>
      </c>
    </row>
    <row r="167" spans="1:10" x14ac:dyDescent="0.3">
      <c r="A167">
        <v>1538</v>
      </c>
      <c r="B167" t="s">
        <v>322</v>
      </c>
      <c r="C167" t="str">
        <f>TEXT(Sales[[#This Row],[Order_Date]],"mmm")</f>
        <v>Jul</v>
      </c>
      <c r="D167" t="s">
        <v>323</v>
      </c>
      <c r="E167" t="s">
        <v>11</v>
      </c>
      <c r="F167" t="s">
        <v>136</v>
      </c>
      <c r="G167" t="s">
        <v>67</v>
      </c>
      <c r="H167">
        <v>3</v>
      </c>
      <c r="I167">
        <v>807</v>
      </c>
      <c r="J167">
        <v>2421</v>
      </c>
    </row>
    <row r="168" spans="1:10" x14ac:dyDescent="0.3">
      <c r="A168">
        <v>1352</v>
      </c>
      <c r="B168" t="s">
        <v>65</v>
      </c>
      <c r="C168" t="str">
        <f>TEXT(Sales[[#This Row],[Order_Date]],"mmm")</f>
        <v>Mar</v>
      </c>
      <c r="D168" t="s">
        <v>324</v>
      </c>
      <c r="E168" t="s">
        <v>42</v>
      </c>
      <c r="F168" t="s">
        <v>17</v>
      </c>
      <c r="G168" t="s">
        <v>114</v>
      </c>
      <c r="H168">
        <v>1</v>
      </c>
      <c r="I168">
        <v>4444</v>
      </c>
      <c r="J168">
        <v>4444</v>
      </c>
    </row>
    <row r="169" spans="1:10" x14ac:dyDescent="0.3">
      <c r="A169">
        <v>1330</v>
      </c>
      <c r="B169" t="s">
        <v>325</v>
      </c>
      <c r="C169" t="str">
        <f>TEXT(Sales[[#This Row],[Order_Date]],"mmm")</f>
        <v>Dec</v>
      </c>
      <c r="D169" t="s">
        <v>326</v>
      </c>
      <c r="E169" t="s">
        <v>25</v>
      </c>
      <c r="F169" t="s">
        <v>89</v>
      </c>
      <c r="G169" t="s">
        <v>133</v>
      </c>
      <c r="H169">
        <v>3</v>
      </c>
      <c r="I169">
        <v>1808</v>
      </c>
      <c r="J169">
        <v>5424</v>
      </c>
    </row>
    <row r="170" spans="1:10" x14ac:dyDescent="0.3">
      <c r="A170">
        <v>1128</v>
      </c>
      <c r="B170" t="s">
        <v>198</v>
      </c>
      <c r="C170" t="str">
        <f>TEXT(Sales[[#This Row],[Order_Date]],"mmm")</f>
        <v>Nov</v>
      </c>
      <c r="D170" t="s">
        <v>327</v>
      </c>
      <c r="E170" t="s">
        <v>11</v>
      </c>
      <c r="F170" t="s">
        <v>83</v>
      </c>
      <c r="G170" t="s">
        <v>57</v>
      </c>
      <c r="H170">
        <v>2</v>
      </c>
      <c r="I170">
        <v>2965</v>
      </c>
      <c r="J170">
        <v>5930</v>
      </c>
    </row>
    <row r="171" spans="1:10" x14ac:dyDescent="0.3">
      <c r="A171">
        <v>1029</v>
      </c>
      <c r="B171" t="s">
        <v>145</v>
      </c>
      <c r="C171" t="str">
        <f>TEXT(Sales[[#This Row],[Order_Date]],"mmm")</f>
        <v>Feb</v>
      </c>
      <c r="D171" t="s">
        <v>123</v>
      </c>
      <c r="E171" t="s">
        <v>42</v>
      </c>
      <c r="F171" t="s">
        <v>89</v>
      </c>
      <c r="G171" t="s">
        <v>13</v>
      </c>
      <c r="H171">
        <v>4</v>
      </c>
      <c r="I171">
        <v>4669</v>
      </c>
      <c r="J171">
        <v>18676</v>
      </c>
    </row>
    <row r="172" spans="1:10" x14ac:dyDescent="0.3">
      <c r="A172">
        <v>1494</v>
      </c>
      <c r="B172" t="s">
        <v>328</v>
      </c>
      <c r="C172" t="str">
        <f>TEXT(Sales[[#This Row],[Order_Date]],"mmm")</f>
        <v>May</v>
      </c>
      <c r="D172" t="s">
        <v>251</v>
      </c>
      <c r="E172" t="s">
        <v>25</v>
      </c>
      <c r="F172" t="s">
        <v>136</v>
      </c>
      <c r="G172" t="s">
        <v>22</v>
      </c>
      <c r="H172">
        <v>1</v>
      </c>
      <c r="I172">
        <v>1494</v>
      </c>
      <c r="J172">
        <v>1494</v>
      </c>
    </row>
    <row r="173" spans="1:10" x14ac:dyDescent="0.3">
      <c r="A173">
        <v>1208</v>
      </c>
      <c r="B173" t="s">
        <v>329</v>
      </c>
      <c r="C173" t="str">
        <f>TEXT(Sales[[#This Row],[Order_Date]],"mmm")</f>
        <v>Jun</v>
      </c>
      <c r="D173" t="s">
        <v>201</v>
      </c>
      <c r="E173" t="s">
        <v>25</v>
      </c>
      <c r="F173" t="s">
        <v>17</v>
      </c>
      <c r="G173" t="s">
        <v>101</v>
      </c>
      <c r="H173">
        <v>4</v>
      </c>
      <c r="I173">
        <v>1271</v>
      </c>
      <c r="J173">
        <v>5084</v>
      </c>
    </row>
    <row r="174" spans="1:10" x14ac:dyDescent="0.3">
      <c r="A174">
        <v>1108</v>
      </c>
      <c r="B174" t="s">
        <v>330</v>
      </c>
      <c r="C174" t="str">
        <f>TEXT(Sales[[#This Row],[Order_Date]],"mmm")</f>
        <v>Jun</v>
      </c>
      <c r="D174" t="s">
        <v>331</v>
      </c>
      <c r="E174" t="s">
        <v>16</v>
      </c>
      <c r="F174" t="s">
        <v>136</v>
      </c>
      <c r="G174" t="s">
        <v>124</v>
      </c>
      <c r="H174">
        <v>2</v>
      </c>
      <c r="I174">
        <v>1354</v>
      </c>
      <c r="J174">
        <v>2708</v>
      </c>
    </row>
    <row r="175" spans="1:10" x14ac:dyDescent="0.3">
      <c r="A175">
        <v>1393</v>
      </c>
      <c r="B175" t="s">
        <v>332</v>
      </c>
      <c r="C175" t="str">
        <f>TEXT(Sales[[#This Row],[Order_Date]],"mmm")</f>
        <v>Nov</v>
      </c>
      <c r="D175" t="s">
        <v>333</v>
      </c>
      <c r="E175" t="s">
        <v>25</v>
      </c>
      <c r="F175" t="s">
        <v>17</v>
      </c>
      <c r="G175" t="s">
        <v>114</v>
      </c>
      <c r="H175">
        <v>2</v>
      </c>
      <c r="I175">
        <v>1505</v>
      </c>
      <c r="J175">
        <v>3010</v>
      </c>
    </row>
    <row r="176" spans="1:10" x14ac:dyDescent="0.3">
      <c r="A176">
        <v>1510</v>
      </c>
      <c r="B176" t="s">
        <v>188</v>
      </c>
      <c r="C176" t="str">
        <f>TEXT(Sales[[#This Row],[Order_Date]],"mmm")</f>
        <v>Jun</v>
      </c>
      <c r="D176" t="s">
        <v>258</v>
      </c>
      <c r="E176" t="s">
        <v>16</v>
      </c>
      <c r="F176" t="s">
        <v>83</v>
      </c>
      <c r="G176" t="s">
        <v>32</v>
      </c>
      <c r="H176">
        <v>2</v>
      </c>
      <c r="I176">
        <v>1962</v>
      </c>
      <c r="J176">
        <v>3924</v>
      </c>
    </row>
    <row r="177" spans="1:10" x14ac:dyDescent="0.3">
      <c r="A177">
        <v>1288</v>
      </c>
      <c r="B177" t="s">
        <v>334</v>
      </c>
      <c r="C177" t="str">
        <f>TEXT(Sales[[#This Row],[Order_Date]],"mmm")</f>
        <v>Sep</v>
      </c>
      <c r="D177" t="s">
        <v>189</v>
      </c>
      <c r="E177" t="s">
        <v>25</v>
      </c>
      <c r="F177" t="s">
        <v>136</v>
      </c>
      <c r="G177" t="s">
        <v>22</v>
      </c>
      <c r="H177">
        <v>4</v>
      </c>
      <c r="I177">
        <v>1297</v>
      </c>
      <c r="J177">
        <v>5188</v>
      </c>
    </row>
    <row r="178" spans="1:10" x14ac:dyDescent="0.3">
      <c r="A178">
        <v>1412</v>
      </c>
      <c r="B178" t="s">
        <v>335</v>
      </c>
      <c r="C178" t="str">
        <f>TEXT(Sales[[#This Row],[Order_Date]],"mmm")</f>
        <v>Jul</v>
      </c>
      <c r="D178" t="s">
        <v>123</v>
      </c>
      <c r="E178" t="s">
        <v>25</v>
      </c>
      <c r="F178" t="s">
        <v>136</v>
      </c>
      <c r="G178" t="s">
        <v>124</v>
      </c>
      <c r="H178">
        <v>5</v>
      </c>
      <c r="I178">
        <v>2564</v>
      </c>
      <c r="J178">
        <v>12820</v>
      </c>
    </row>
    <row r="179" spans="1:10" x14ac:dyDescent="0.3">
      <c r="A179">
        <v>1563</v>
      </c>
      <c r="B179" t="s">
        <v>336</v>
      </c>
      <c r="C179" t="str">
        <f>TEXT(Sales[[#This Row],[Order_Date]],"mmm")</f>
        <v>May</v>
      </c>
      <c r="D179" t="s">
        <v>197</v>
      </c>
      <c r="E179" t="s">
        <v>11</v>
      </c>
      <c r="F179" t="s">
        <v>83</v>
      </c>
      <c r="G179" t="s">
        <v>93</v>
      </c>
      <c r="H179">
        <v>3</v>
      </c>
      <c r="I179">
        <v>2977</v>
      </c>
      <c r="J179">
        <v>8931</v>
      </c>
    </row>
    <row r="180" spans="1:10" x14ac:dyDescent="0.3">
      <c r="A180">
        <v>1147</v>
      </c>
      <c r="B180" t="s">
        <v>337</v>
      </c>
      <c r="C180" t="str">
        <f>TEXT(Sales[[#This Row],[Order_Date]],"mmm")</f>
        <v>Apr</v>
      </c>
      <c r="D180" t="s">
        <v>24</v>
      </c>
      <c r="E180" t="s">
        <v>42</v>
      </c>
      <c r="F180" t="s">
        <v>136</v>
      </c>
      <c r="G180" t="s">
        <v>67</v>
      </c>
      <c r="H180">
        <v>1</v>
      </c>
      <c r="I180">
        <v>1322</v>
      </c>
      <c r="J180">
        <v>1322</v>
      </c>
    </row>
    <row r="181" spans="1:10" x14ac:dyDescent="0.3">
      <c r="A181">
        <v>1531</v>
      </c>
      <c r="B181" t="s">
        <v>338</v>
      </c>
      <c r="C181" t="str">
        <f>TEXT(Sales[[#This Row],[Order_Date]],"mmm")</f>
        <v>Aug</v>
      </c>
      <c r="D181" t="s">
        <v>339</v>
      </c>
      <c r="E181" t="s">
        <v>11</v>
      </c>
      <c r="F181" t="s">
        <v>17</v>
      </c>
      <c r="G181" t="s">
        <v>101</v>
      </c>
      <c r="H181">
        <v>4</v>
      </c>
      <c r="I181">
        <v>2651</v>
      </c>
      <c r="J181">
        <v>10604</v>
      </c>
    </row>
    <row r="182" spans="1:10" x14ac:dyDescent="0.3">
      <c r="A182">
        <v>1521</v>
      </c>
      <c r="B182" t="s">
        <v>340</v>
      </c>
      <c r="C182" t="str">
        <f>TEXT(Sales[[#This Row],[Order_Date]],"mmm")</f>
        <v>Sep</v>
      </c>
      <c r="D182" t="s">
        <v>169</v>
      </c>
      <c r="E182" t="s">
        <v>25</v>
      </c>
      <c r="F182" t="s">
        <v>89</v>
      </c>
      <c r="G182" t="s">
        <v>75</v>
      </c>
      <c r="H182">
        <v>3</v>
      </c>
      <c r="I182">
        <v>1097</v>
      </c>
      <c r="J182">
        <v>3291</v>
      </c>
    </row>
    <row r="183" spans="1:10" x14ac:dyDescent="0.3">
      <c r="A183">
        <v>1027</v>
      </c>
      <c r="B183" t="s">
        <v>341</v>
      </c>
      <c r="C183" t="str">
        <f>TEXT(Sales[[#This Row],[Order_Date]],"mmm")</f>
        <v>Nov</v>
      </c>
      <c r="D183" t="s">
        <v>342</v>
      </c>
      <c r="E183" t="s">
        <v>42</v>
      </c>
      <c r="F183" t="s">
        <v>89</v>
      </c>
      <c r="G183" t="s">
        <v>133</v>
      </c>
      <c r="H183">
        <v>5</v>
      </c>
      <c r="I183">
        <v>4135</v>
      </c>
      <c r="J183">
        <v>20675</v>
      </c>
    </row>
    <row r="184" spans="1:10" x14ac:dyDescent="0.3">
      <c r="A184">
        <v>1389</v>
      </c>
      <c r="B184" t="s">
        <v>343</v>
      </c>
      <c r="C184" t="str">
        <f>TEXT(Sales[[#This Row],[Order_Date]],"mmm")</f>
        <v>Mar</v>
      </c>
      <c r="D184" t="s">
        <v>231</v>
      </c>
      <c r="E184" t="s">
        <v>16</v>
      </c>
      <c r="F184" t="s">
        <v>17</v>
      </c>
      <c r="G184" t="s">
        <v>72</v>
      </c>
      <c r="H184">
        <v>1</v>
      </c>
      <c r="I184">
        <v>3812</v>
      </c>
      <c r="J184">
        <v>3812</v>
      </c>
    </row>
    <row r="185" spans="1:10" x14ac:dyDescent="0.3">
      <c r="A185">
        <v>1208</v>
      </c>
      <c r="B185" t="s">
        <v>322</v>
      </c>
      <c r="C185" t="str">
        <f>TEXT(Sales[[#This Row],[Order_Date]],"mmm")</f>
        <v>Jul</v>
      </c>
      <c r="D185" t="s">
        <v>288</v>
      </c>
      <c r="E185" t="s">
        <v>16</v>
      </c>
      <c r="F185" t="s">
        <v>136</v>
      </c>
      <c r="G185" t="s">
        <v>124</v>
      </c>
      <c r="H185">
        <v>5</v>
      </c>
      <c r="I185">
        <v>2862</v>
      </c>
      <c r="J185">
        <v>14310</v>
      </c>
    </row>
    <row r="186" spans="1:10" x14ac:dyDescent="0.3">
      <c r="A186">
        <v>1385</v>
      </c>
      <c r="B186" t="s">
        <v>344</v>
      </c>
      <c r="C186" t="str">
        <f>TEXT(Sales[[#This Row],[Order_Date]],"mmm")</f>
        <v>Jun</v>
      </c>
      <c r="D186" t="s">
        <v>345</v>
      </c>
      <c r="E186" t="s">
        <v>25</v>
      </c>
      <c r="F186" t="s">
        <v>17</v>
      </c>
      <c r="G186" t="s">
        <v>53</v>
      </c>
      <c r="H186">
        <v>3</v>
      </c>
      <c r="I186">
        <v>4166</v>
      </c>
      <c r="J186">
        <v>12498</v>
      </c>
    </row>
    <row r="187" spans="1:10" x14ac:dyDescent="0.3">
      <c r="A187">
        <v>1571</v>
      </c>
      <c r="B187" t="s">
        <v>346</v>
      </c>
      <c r="C187" t="str">
        <f>TEXT(Sales[[#This Row],[Order_Date]],"mmm")</f>
        <v>Jun</v>
      </c>
      <c r="D187" t="s">
        <v>326</v>
      </c>
      <c r="E187" t="s">
        <v>16</v>
      </c>
      <c r="F187" t="s">
        <v>89</v>
      </c>
      <c r="G187" t="s">
        <v>95</v>
      </c>
      <c r="H187">
        <v>3</v>
      </c>
      <c r="I187">
        <v>4130</v>
      </c>
      <c r="J187">
        <v>12390</v>
      </c>
    </row>
    <row r="188" spans="1:10" x14ac:dyDescent="0.3">
      <c r="A188">
        <v>1280</v>
      </c>
      <c r="B188" t="s">
        <v>347</v>
      </c>
      <c r="C188" t="str">
        <f>TEXT(Sales[[#This Row],[Order_Date]],"mmm")</f>
        <v>May</v>
      </c>
      <c r="D188" t="s">
        <v>348</v>
      </c>
      <c r="E188" t="s">
        <v>11</v>
      </c>
      <c r="F188" t="s">
        <v>136</v>
      </c>
      <c r="G188" t="s">
        <v>46</v>
      </c>
      <c r="H188">
        <v>3</v>
      </c>
      <c r="I188">
        <v>544</v>
      </c>
      <c r="J188">
        <v>1632</v>
      </c>
    </row>
    <row r="189" spans="1:10" x14ac:dyDescent="0.3">
      <c r="A189">
        <v>1354</v>
      </c>
      <c r="B189" t="s">
        <v>349</v>
      </c>
      <c r="C189" t="str">
        <f>TEXT(Sales[[#This Row],[Order_Date]],"mmm")</f>
        <v>Aug</v>
      </c>
      <c r="D189" t="s">
        <v>130</v>
      </c>
      <c r="E189" t="s">
        <v>16</v>
      </c>
      <c r="F189" t="s">
        <v>89</v>
      </c>
      <c r="G189" t="s">
        <v>75</v>
      </c>
      <c r="H189">
        <v>5</v>
      </c>
      <c r="I189">
        <v>2421</v>
      </c>
      <c r="J189">
        <v>12105</v>
      </c>
    </row>
    <row r="190" spans="1:10" x14ac:dyDescent="0.3">
      <c r="A190">
        <v>1140</v>
      </c>
      <c r="B190" t="s">
        <v>158</v>
      </c>
      <c r="C190" t="str">
        <f>TEXT(Sales[[#This Row],[Order_Date]],"mmm")</f>
        <v>Feb</v>
      </c>
      <c r="D190" t="s">
        <v>350</v>
      </c>
      <c r="E190" t="s">
        <v>16</v>
      </c>
      <c r="F190" t="s">
        <v>17</v>
      </c>
      <c r="G190" t="s">
        <v>114</v>
      </c>
      <c r="H190">
        <v>2</v>
      </c>
      <c r="I190">
        <v>630</v>
      </c>
      <c r="J190">
        <v>1260</v>
      </c>
    </row>
    <row r="191" spans="1:10" x14ac:dyDescent="0.3">
      <c r="A191">
        <v>1483</v>
      </c>
      <c r="B191" t="s">
        <v>211</v>
      </c>
      <c r="C191" t="str">
        <f>TEXT(Sales[[#This Row],[Order_Date]],"mmm")</f>
        <v>Feb</v>
      </c>
      <c r="D191" t="s">
        <v>351</v>
      </c>
      <c r="E191" t="s">
        <v>11</v>
      </c>
      <c r="F191" t="s">
        <v>17</v>
      </c>
      <c r="G191" t="s">
        <v>72</v>
      </c>
      <c r="H191">
        <v>4</v>
      </c>
      <c r="I191">
        <v>4111</v>
      </c>
      <c r="J191">
        <v>16444</v>
      </c>
    </row>
    <row r="192" spans="1:10" x14ac:dyDescent="0.3">
      <c r="A192">
        <v>1294</v>
      </c>
      <c r="B192" t="s">
        <v>352</v>
      </c>
      <c r="C192" t="str">
        <f>TEXT(Sales[[#This Row],[Order_Date]],"mmm")</f>
        <v>Jun</v>
      </c>
      <c r="D192" t="s">
        <v>87</v>
      </c>
      <c r="E192" t="s">
        <v>42</v>
      </c>
      <c r="F192" t="s">
        <v>83</v>
      </c>
      <c r="G192" t="s">
        <v>32</v>
      </c>
      <c r="H192">
        <v>2</v>
      </c>
      <c r="I192">
        <v>3623</v>
      </c>
      <c r="J192">
        <v>7246</v>
      </c>
    </row>
    <row r="193" spans="1:10" x14ac:dyDescent="0.3">
      <c r="A193">
        <v>1037</v>
      </c>
      <c r="B193" t="s">
        <v>234</v>
      </c>
      <c r="C193" t="str">
        <f>TEXT(Sales[[#This Row],[Order_Date]],"mmm")</f>
        <v>Jul</v>
      </c>
      <c r="D193" t="s">
        <v>187</v>
      </c>
      <c r="E193" t="s">
        <v>42</v>
      </c>
      <c r="F193" t="s">
        <v>136</v>
      </c>
      <c r="G193" t="s">
        <v>128</v>
      </c>
      <c r="H193">
        <v>1</v>
      </c>
      <c r="I193">
        <v>2644</v>
      </c>
      <c r="J193">
        <v>2644</v>
      </c>
    </row>
    <row r="194" spans="1:10" x14ac:dyDescent="0.3">
      <c r="A194">
        <v>1343</v>
      </c>
      <c r="B194" t="s">
        <v>353</v>
      </c>
      <c r="C194" t="str">
        <f>TEXT(Sales[[#This Row],[Order_Date]],"mmm")</f>
        <v>May</v>
      </c>
      <c r="D194" t="s">
        <v>204</v>
      </c>
      <c r="E194" t="s">
        <v>42</v>
      </c>
      <c r="F194" t="s">
        <v>136</v>
      </c>
      <c r="G194" t="s">
        <v>128</v>
      </c>
      <c r="H194">
        <v>2</v>
      </c>
      <c r="I194">
        <v>1122</v>
      </c>
      <c r="J194">
        <v>2244</v>
      </c>
    </row>
    <row r="195" spans="1:10" x14ac:dyDescent="0.3">
      <c r="A195">
        <v>1263</v>
      </c>
      <c r="B195" t="s">
        <v>90</v>
      </c>
      <c r="C195" t="str">
        <f>TEXT(Sales[[#This Row],[Order_Date]],"mmm")</f>
        <v>Apr</v>
      </c>
      <c r="D195" t="s">
        <v>354</v>
      </c>
      <c r="E195" t="s">
        <v>11</v>
      </c>
      <c r="F195" t="s">
        <v>89</v>
      </c>
      <c r="G195" t="s">
        <v>95</v>
      </c>
      <c r="H195">
        <v>5</v>
      </c>
      <c r="I195">
        <v>3521</v>
      </c>
      <c r="J195">
        <v>17605</v>
      </c>
    </row>
    <row r="196" spans="1:10" x14ac:dyDescent="0.3">
      <c r="A196">
        <v>1088</v>
      </c>
      <c r="B196" t="s">
        <v>355</v>
      </c>
      <c r="C196" t="str">
        <f>TEXT(Sales[[#This Row],[Order_Date]],"mmm")</f>
        <v>Jul</v>
      </c>
      <c r="D196" t="s">
        <v>356</v>
      </c>
      <c r="E196" t="s">
        <v>16</v>
      </c>
      <c r="F196" t="s">
        <v>83</v>
      </c>
      <c r="G196" t="s">
        <v>657</v>
      </c>
      <c r="H196">
        <v>3</v>
      </c>
      <c r="I196">
        <v>2232</v>
      </c>
      <c r="J196">
        <v>6696</v>
      </c>
    </row>
    <row r="197" spans="1:10" x14ac:dyDescent="0.3">
      <c r="A197">
        <v>1457</v>
      </c>
      <c r="B197" t="s">
        <v>357</v>
      </c>
      <c r="C197" t="str">
        <f>TEXT(Sales[[#This Row],[Order_Date]],"mmm")</f>
        <v>May</v>
      </c>
      <c r="D197" t="s">
        <v>345</v>
      </c>
      <c r="E197" t="s">
        <v>42</v>
      </c>
      <c r="F197" t="s">
        <v>89</v>
      </c>
      <c r="G197" t="s">
        <v>95</v>
      </c>
      <c r="H197">
        <v>3</v>
      </c>
      <c r="I197">
        <v>2135</v>
      </c>
      <c r="J197">
        <v>6405</v>
      </c>
    </row>
    <row r="198" spans="1:10" x14ac:dyDescent="0.3">
      <c r="A198">
        <v>1314</v>
      </c>
      <c r="B198" t="s">
        <v>19</v>
      </c>
      <c r="C198" t="str">
        <f>TEXT(Sales[[#This Row],[Order_Date]],"mmm")</f>
        <v>Mar</v>
      </c>
      <c r="D198" t="s">
        <v>80</v>
      </c>
      <c r="E198" t="s">
        <v>25</v>
      </c>
      <c r="F198" t="s">
        <v>89</v>
      </c>
      <c r="G198" t="s">
        <v>27</v>
      </c>
      <c r="H198">
        <v>5</v>
      </c>
      <c r="I198">
        <v>2009</v>
      </c>
      <c r="J198">
        <v>10045</v>
      </c>
    </row>
    <row r="199" spans="1:10" x14ac:dyDescent="0.3">
      <c r="A199">
        <v>1156</v>
      </c>
      <c r="B199" t="s">
        <v>86</v>
      </c>
      <c r="C199" t="str">
        <f>TEXT(Sales[[#This Row],[Order_Date]],"mmm")</f>
        <v>Aug</v>
      </c>
      <c r="D199" t="s">
        <v>88</v>
      </c>
      <c r="E199" t="s">
        <v>16</v>
      </c>
      <c r="F199" t="s">
        <v>89</v>
      </c>
      <c r="G199" t="s">
        <v>75</v>
      </c>
      <c r="H199">
        <v>2</v>
      </c>
      <c r="I199">
        <v>870</v>
      </c>
      <c r="J199">
        <v>1740</v>
      </c>
    </row>
    <row r="200" spans="1:10" x14ac:dyDescent="0.3">
      <c r="A200">
        <v>1370</v>
      </c>
      <c r="B200" t="s">
        <v>272</v>
      </c>
      <c r="C200" t="str">
        <f>TEXT(Sales[[#This Row],[Order_Date]],"mmm")</f>
        <v>Feb</v>
      </c>
      <c r="D200" t="s">
        <v>316</v>
      </c>
      <c r="E200" t="s">
        <v>11</v>
      </c>
      <c r="F200" t="s">
        <v>83</v>
      </c>
      <c r="G200" t="s">
        <v>32</v>
      </c>
      <c r="H200">
        <v>2</v>
      </c>
      <c r="I200">
        <v>2887</v>
      </c>
      <c r="J200">
        <v>5774</v>
      </c>
    </row>
    <row r="201" spans="1:10" x14ac:dyDescent="0.3">
      <c r="A201">
        <v>1210</v>
      </c>
      <c r="B201" t="s">
        <v>358</v>
      </c>
      <c r="C201" t="str">
        <f>TEXT(Sales[[#This Row],[Order_Date]],"mmm")</f>
        <v>Oct</v>
      </c>
      <c r="D201" t="s">
        <v>169</v>
      </c>
      <c r="E201" t="s">
        <v>42</v>
      </c>
      <c r="F201" t="s">
        <v>83</v>
      </c>
      <c r="G201" t="s">
        <v>57</v>
      </c>
      <c r="H201">
        <v>4</v>
      </c>
      <c r="I201">
        <v>1280</v>
      </c>
      <c r="J201">
        <v>5120</v>
      </c>
    </row>
    <row r="202" spans="1:10" x14ac:dyDescent="0.3">
      <c r="A202">
        <v>1059</v>
      </c>
      <c r="B202" t="s">
        <v>359</v>
      </c>
      <c r="C202" t="str">
        <f>TEXT(Sales[[#This Row],[Order_Date]],"mmm")</f>
        <v>Oct</v>
      </c>
      <c r="D202" t="s">
        <v>301</v>
      </c>
      <c r="E202" t="s">
        <v>42</v>
      </c>
      <c r="F202" t="s">
        <v>89</v>
      </c>
      <c r="G202" t="s">
        <v>27</v>
      </c>
      <c r="H202">
        <v>1</v>
      </c>
      <c r="I202">
        <v>1985</v>
      </c>
      <c r="J202">
        <v>1985</v>
      </c>
    </row>
    <row r="203" spans="1:10" x14ac:dyDescent="0.3">
      <c r="A203">
        <v>1352</v>
      </c>
      <c r="B203" t="s">
        <v>360</v>
      </c>
      <c r="C203" t="str">
        <f>TEXT(Sales[[#This Row],[Order_Date]],"mmm")</f>
        <v>Dec</v>
      </c>
      <c r="D203" t="s">
        <v>361</v>
      </c>
      <c r="E203" t="s">
        <v>42</v>
      </c>
      <c r="F203" t="s">
        <v>83</v>
      </c>
      <c r="G203" t="s">
        <v>32</v>
      </c>
      <c r="H203">
        <v>3</v>
      </c>
      <c r="I203">
        <v>3549</v>
      </c>
      <c r="J203">
        <v>10647</v>
      </c>
    </row>
    <row r="204" spans="1:10" x14ac:dyDescent="0.3">
      <c r="A204">
        <v>1430</v>
      </c>
      <c r="B204" t="s">
        <v>362</v>
      </c>
      <c r="C204" t="str">
        <f>TEXT(Sales[[#This Row],[Order_Date]],"mmm")</f>
        <v>Jul</v>
      </c>
      <c r="D204" t="s">
        <v>363</v>
      </c>
      <c r="E204" t="s">
        <v>11</v>
      </c>
      <c r="F204" t="s">
        <v>136</v>
      </c>
      <c r="G204" t="s">
        <v>46</v>
      </c>
      <c r="H204">
        <v>1</v>
      </c>
      <c r="I204">
        <v>4617</v>
      </c>
      <c r="J204">
        <v>4617</v>
      </c>
    </row>
    <row r="205" spans="1:10" x14ac:dyDescent="0.3">
      <c r="A205">
        <v>1121</v>
      </c>
      <c r="B205" t="s">
        <v>364</v>
      </c>
      <c r="C205" t="str">
        <f>TEXT(Sales[[#This Row],[Order_Date]],"mmm")</f>
        <v>Apr</v>
      </c>
      <c r="D205" t="s">
        <v>365</v>
      </c>
      <c r="E205" t="s">
        <v>16</v>
      </c>
      <c r="F205" t="s">
        <v>136</v>
      </c>
      <c r="G205" t="s">
        <v>67</v>
      </c>
      <c r="H205">
        <v>1</v>
      </c>
      <c r="I205">
        <v>386</v>
      </c>
      <c r="J205">
        <v>386</v>
      </c>
    </row>
    <row r="206" spans="1:10" x14ac:dyDescent="0.3">
      <c r="A206">
        <v>1557</v>
      </c>
      <c r="B206" t="s">
        <v>366</v>
      </c>
      <c r="C206" t="str">
        <f>TEXT(Sales[[#This Row],[Order_Date]],"mmm")</f>
        <v>Aug</v>
      </c>
      <c r="D206" t="s">
        <v>286</v>
      </c>
      <c r="E206" t="s">
        <v>16</v>
      </c>
      <c r="F206" t="s">
        <v>136</v>
      </c>
      <c r="G206" t="s">
        <v>128</v>
      </c>
      <c r="H206">
        <v>3</v>
      </c>
      <c r="I206">
        <v>1470</v>
      </c>
      <c r="J206">
        <v>4410</v>
      </c>
    </row>
    <row r="207" spans="1:10" x14ac:dyDescent="0.3">
      <c r="A207">
        <v>1115</v>
      </c>
      <c r="B207" t="s">
        <v>367</v>
      </c>
      <c r="C207" t="str">
        <f>TEXT(Sales[[#This Row],[Order_Date]],"mmm")</f>
        <v>Jan</v>
      </c>
      <c r="D207" t="s">
        <v>368</v>
      </c>
      <c r="E207" t="s">
        <v>16</v>
      </c>
      <c r="F207" t="s">
        <v>136</v>
      </c>
      <c r="G207" t="s">
        <v>67</v>
      </c>
      <c r="H207">
        <v>2</v>
      </c>
      <c r="I207">
        <v>751</v>
      </c>
      <c r="J207">
        <v>1502</v>
      </c>
    </row>
    <row r="208" spans="1:10" x14ac:dyDescent="0.3">
      <c r="A208">
        <v>1049</v>
      </c>
      <c r="B208" t="s">
        <v>328</v>
      </c>
      <c r="C208" t="str">
        <f>TEXT(Sales[[#This Row],[Order_Date]],"mmm")</f>
        <v>May</v>
      </c>
      <c r="D208" t="s">
        <v>10</v>
      </c>
      <c r="E208" t="s">
        <v>16</v>
      </c>
      <c r="F208" t="s">
        <v>83</v>
      </c>
      <c r="G208" t="s">
        <v>78</v>
      </c>
      <c r="H208">
        <v>5</v>
      </c>
      <c r="I208">
        <v>1979</v>
      </c>
      <c r="J208">
        <v>9895</v>
      </c>
    </row>
    <row r="209" spans="1:10" x14ac:dyDescent="0.3">
      <c r="A209">
        <v>1143</v>
      </c>
      <c r="B209" t="s">
        <v>369</v>
      </c>
      <c r="C209" t="str">
        <f>TEXT(Sales[[#This Row],[Order_Date]],"mmm")</f>
        <v>Sep</v>
      </c>
      <c r="D209" t="s">
        <v>370</v>
      </c>
      <c r="E209" t="s">
        <v>25</v>
      </c>
      <c r="F209" t="s">
        <v>17</v>
      </c>
      <c r="G209" t="s">
        <v>18</v>
      </c>
      <c r="H209">
        <v>2</v>
      </c>
      <c r="I209">
        <v>2672</v>
      </c>
      <c r="J209">
        <v>5344</v>
      </c>
    </row>
    <row r="210" spans="1:10" x14ac:dyDescent="0.3">
      <c r="A210">
        <v>1533</v>
      </c>
      <c r="B210" t="s">
        <v>264</v>
      </c>
      <c r="C210" t="str">
        <f>TEXT(Sales[[#This Row],[Order_Date]],"mmm")</f>
        <v>Apr</v>
      </c>
      <c r="D210" t="s">
        <v>196</v>
      </c>
      <c r="E210" t="s">
        <v>11</v>
      </c>
      <c r="F210" t="s">
        <v>89</v>
      </c>
      <c r="G210" t="s">
        <v>95</v>
      </c>
      <c r="H210">
        <v>4</v>
      </c>
      <c r="I210">
        <v>4753</v>
      </c>
      <c r="J210">
        <v>19012</v>
      </c>
    </row>
    <row r="211" spans="1:10" x14ac:dyDescent="0.3">
      <c r="A211">
        <v>1390</v>
      </c>
      <c r="B211" t="s">
        <v>371</v>
      </c>
      <c r="C211" t="str">
        <f>TEXT(Sales[[#This Row],[Order_Date]],"mmm")</f>
        <v>Sep</v>
      </c>
      <c r="D211" t="s">
        <v>372</v>
      </c>
      <c r="E211" t="s">
        <v>42</v>
      </c>
      <c r="F211" t="s">
        <v>136</v>
      </c>
      <c r="G211" t="s">
        <v>46</v>
      </c>
      <c r="H211">
        <v>4</v>
      </c>
      <c r="I211">
        <v>1706</v>
      </c>
      <c r="J211">
        <v>6824</v>
      </c>
    </row>
    <row r="212" spans="1:10" x14ac:dyDescent="0.3">
      <c r="A212">
        <v>1230</v>
      </c>
      <c r="B212" t="s">
        <v>373</v>
      </c>
      <c r="C212" t="str">
        <f>TEXT(Sales[[#This Row],[Order_Date]],"mmm")</f>
        <v>Jun</v>
      </c>
      <c r="D212" t="s">
        <v>238</v>
      </c>
      <c r="E212" t="s">
        <v>11</v>
      </c>
      <c r="F212" t="s">
        <v>17</v>
      </c>
      <c r="G212" t="s">
        <v>53</v>
      </c>
      <c r="H212">
        <v>4</v>
      </c>
      <c r="I212">
        <v>4765</v>
      </c>
      <c r="J212">
        <v>19060</v>
      </c>
    </row>
    <row r="213" spans="1:10" x14ac:dyDescent="0.3">
      <c r="A213">
        <v>1261</v>
      </c>
      <c r="B213" t="s">
        <v>374</v>
      </c>
      <c r="C213" t="str">
        <f>TEXT(Sales[[#This Row],[Order_Date]],"mmm")</f>
        <v>Apr</v>
      </c>
      <c r="D213" t="s">
        <v>249</v>
      </c>
      <c r="E213" t="s">
        <v>25</v>
      </c>
      <c r="F213" t="s">
        <v>83</v>
      </c>
      <c r="G213" t="s">
        <v>78</v>
      </c>
      <c r="H213">
        <v>5</v>
      </c>
      <c r="I213">
        <v>1760</v>
      </c>
      <c r="J213">
        <v>8800</v>
      </c>
    </row>
    <row r="214" spans="1:10" x14ac:dyDescent="0.3">
      <c r="A214">
        <v>1040</v>
      </c>
      <c r="B214" t="s">
        <v>220</v>
      </c>
      <c r="C214" t="str">
        <f>TEXT(Sales[[#This Row],[Order_Date]],"mmm")</f>
        <v>Feb</v>
      </c>
      <c r="D214" t="s">
        <v>375</v>
      </c>
      <c r="E214" t="s">
        <v>25</v>
      </c>
      <c r="F214" t="s">
        <v>17</v>
      </c>
      <c r="G214" t="s">
        <v>53</v>
      </c>
      <c r="H214">
        <v>3</v>
      </c>
      <c r="I214">
        <v>325</v>
      </c>
      <c r="J214">
        <v>975</v>
      </c>
    </row>
    <row r="215" spans="1:10" x14ac:dyDescent="0.3">
      <c r="A215">
        <v>1120</v>
      </c>
      <c r="B215" t="s">
        <v>178</v>
      </c>
      <c r="C215" t="str">
        <f>TEXT(Sales[[#This Row],[Order_Date]],"mmm")</f>
        <v>Sep</v>
      </c>
      <c r="D215" t="s">
        <v>316</v>
      </c>
      <c r="E215" t="s">
        <v>11</v>
      </c>
      <c r="F215" t="s">
        <v>17</v>
      </c>
      <c r="G215" t="s">
        <v>18</v>
      </c>
      <c r="H215">
        <v>2</v>
      </c>
      <c r="I215">
        <v>4722</v>
      </c>
      <c r="J215">
        <v>9444</v>
      </c>
    </row>
    <row r="216" spans="1:10" x14ac:dyDescent="0.3">
      <c r="A216">
        <v>1477</v>
      </c>
      <c r="B216" t="s">
        <v>376</v>
      </c>
      <c r="C216" t="str">
        <f>TEXT(Sales[[#This Row],[Order_Date]],"mmm")</f>
        <v>Sep</v>
      </c>
      <c r="D216" t="s">
        <v>156</v>
      </c>
      <c r="E216" t="s">
        <v>25</v>
      </c>
      <c r="F216" t="s">
        <v>89</v>
      </c>
      <c r="G216" t="s">
        <v>95</v>
      </c>
      <c r="H216">
        <v>5</v>
      </c>
      <c r="I216">
        <v>4273</v>
      </c>
      <c r="J216">
        <v>21365</v>
      </c>
    </row>
    <row r="217" spans="1:10" x14ac:dyDescent="0.3">
      <c r="A217">
        <v>1480</v>
      </c>
      <c r="B217" t="s">
        <v>330</v>
      </c>
      <c r="C217" t="str">
        <f>TEXT(Sales[[#This Row],[Order_Date]],"mmm")</f>
        <v>Jun</v>
      </c>
      <c r="D217" t="s">
        <v>316</v>
      </c>
      <c r="E217" t="s">
        <v>11</v>
      </c>
      <c r="F217" t="s">
        <v>17</v>
      </c>
      <c r="G217" t="s">
        <v>101</v>
      </c>
      <c r="H217">
        <v>1</v>
      </c>
      <c r="I217">
        <v>4808</v>
      </c>
      <c r="J217">
        <v>4808</v>
      </c>
    </row>
    <row r="218" spans="1:10" x14ac:dyDescent="0.3">
      <c r="A218">
        <v>1016</v>
      </c>
      <c r="B218" t="s">
        <v>377</v>
      </c>
      <c r="C218" t="str">
        <f>TEXT(Sales[[#This Row],[Order_Date]],"mmm")</f>
        <v>May</v>
      </c>
      <c r="D218" t="s">
        <v>378</v>
      </c>
      <c r="E218" t="s">
        <v>16</v>
      </c>
      <c r="F218" t="s">
        <v>136</v>
      </c>
      <c r="G218" t="s">
        <v>22</v>
      </c>
      <c r="H218">
        <v>3</v>
      </c>
      <c r="I218">
        <v>2084</v>
      </c>
      <c r="J218">
        <v>6252</v>
      </c>
    </row>
    <row r="219" spans="1:10" x14ac:dyDescent="0.3">
      <c r="A219">
        <v>1511</v>
      </c>
      <c r="B219" t="s">
        <v>379</v>
      </c>
      <c r="C219" t="str">
        <f>TEXT(Sales[[#This Row],[Order_Date]],"mmm")</f>
        <v>Oct</v>
      </c>
      <c r="D219" t="s">
        <v>130</v>
      </c>
      <c r="E219" t="s">
        <v>16</v>
      </c>
      <c r="F219" t="s">
        <v>89</v>
      </c>
      <c r="G219" t="s">
        <v>95</v>
      </c>
      <c r="H219">
        <v>4</v>
      </c>
      <c r="I219">
        <v>1578</v>
      </c>
      <c r="J219">
        <v>6312</v>
      </c>
    </row>
    <row r="220" spans="1:10" x14ac:dyDescent="0.3">
      <c r="A220">
        <v>1143</v>
      </c>
      <c r="B220" t="s">
        <v>380</v>
      </c>
      <c r="C220" t="str">
        <f>TEXT(Sales[[#This Row],[Order_Date]],"mmm")</f>
        <v>Oct</v>
      </c>
      <c r="D220" t="s">
        <v>169</v>
      </c>
      <c r="E220" t="s">
        <v>42</v>
      </c>
      <c r="F220" t="s">
        <v>17</v>
      </c>
      <c r="G220" t="s">
        <v>18</v>
      </c>
      <c r="H220">
        <v>1</v>
      </c>
      <c r="I220">
        <v>597</v>
      </c>
      <c r="J220">
        <v>597</v>
      </c>
    </row>
    <row r="221" spans="1:10" x14ac:dyDescent="0.3">
      <c r="A221">
        <v>1236</v>
      </c>
      <c r="B221" t="s">
        <v>246</v>
      </c>
      <c r="C221" t="str">
        <f>TEXT(Sales[[#This Row],[Order_Date]],"mmm")</f>
        <v>Feb</v>
      </c>
      <c r="D221" t="s">
        <v>381</v>
      </c>
      <c r="E221" t="s">
        <v>16</v>
      </c>
      <c r="F221" t="s">
        <v>17</v>
      </c>
      <c r="G221" t="s">
        <v>72</v>
      </c>
      <c r="H221">
        <v>3</v>
      </c>
      <c r="I221">
        <v>695</v>
      </c>
      <c r="J221">
        <v>2085</v>
      </c>
    </row>
    <row r="222" spans="1:10" x14ac:dyDescent="0.3">
      <c r="A222">
        <v>1494</v>
      </c>
      <c r="B222" t="s">
        <v>131</v>
      </c>
      <c r="C222" t="str">
        <f>TEXT(Sales[[#This Row],[Order_Date]],"mmm")</f>
        <v>Dec</v>
      </c>
      <c r="D222" t="s">
        <v>144</v>
      </c>
      <c r="E222" t="s">
        <v>42</v>
      </c>
      <c r="F222" t="s">
        <v>83</v>
      </c>
      <c r="G222" t="s">
        <v>32</v>
      </c>
      <c r="H222">
        <v>1</v>
      </c>
      <c r="I222">
        <v>4536</v>
      </c>
      <c r="J222">
        <v>4536</v>
      </c>
    </row>
    <row r="223" spans="1:10" x14ac:dyDescent="0.3">
      <c r="A223">
        <v>1293</v>
      </c>
      <c r="B223" t="s">
        <v>382</v>
      </c>
      <c r="C223" t="str">
        <f>TEXT(Sales[[#This Row],[Order_Date]],"mmm")</f>
        <v>Jan</v>
      </c>
      <c r="D223" t="s">
        <v>288</v>
      </c>
      <c r="E223" t="s">
        <v>25</v>
      </c>
      <c r="F223" t="s">
        <v>136</v>
      </c>
      <c r="G223" t="s">
        <v>128</v>
      </c>
      <c r="H223">
        <v>5</v>
      </c>
      <c r="I223">
        <v>1419</v>
      </c>
      <c r="J223">
        <v>7095</v>
      </c>
    </row>
    <row r="224" spans="1:10" x14ac:dyDescent="0.3">
      <c r="A224">
        <v>1258</v>
      </c>
      <c r="B224" t="s">
        <v>383</v>
      </c>
      <c r="C224" t="str">
        <f>TEXT(Sales[[#This Row],[Order_Date]],"mmm")</f>
        <v>Jun</v>
      </c>
      <c r="D224" t="s">
        <v>206</v>
      </c>
      <c r="E224" t="s">
        <v>11</v>
      </c>
      <c r="F224" t="s">
        <v>136</v>
      </c>
      <c r="G224" t="s">
        <v>124</v>
      </c>
      <c r="H224">
        <v>4</v>
      </c>
      <c r="I224">
        <v>4828</v>
      </c>
      <c r="J224">
        <v>19312</v>
      </c>
    </row>
    <row r="225" spans="1:10" x14ac:dyDescent="0.3">
      <c r="A225">
        <v>1307</v>
      </c>
      <c r="B225" t="s">
        <v>300</v>
      </c>
      <c r="C225" t="str">
        <f>TEXT(Sales[[#This Row],[Order_Date]],"mmm")</f>
        <v>Dec</v>
      </c>
      <c r="D225" t="s">
        <v>197</v>
      </c>
      <c r="E225" t="s">
        <v>11</v>
      </c>
      <c r="F225" t="s">
        <v>83</v>
      </c>
      <c r="G225" t="s">
        <v>32</v>
      </c>
      <c r="H225">
        <v>4</v>
      </c>
      <c r="I225">
        <v>3289</v>
      </c>
      <c r="J225">
        <v>13156</v>
      </c>
    </row>
    <row r="226" spans="1:10" x14ac:dyDescent="0.3">
      <c r="A226">
        <v>1009</v>
      </c>
      <c r="B226" t="s">
        <v>384</v>
      </c>
      <c r="C226" t="str">
        <f>TEXT(Sales[[#This Row],[Order_Date]],"mmm")</f>
        <v>Dec</v>
      </c>
      <c r="D226" t="s">
        <v>385</v>
      </c>
      <c r="E226" t="s">
        <v>25</v>
      </c>
      <c r="F226" t="s">
        <v>83</v>
      </c>
      <c r="G226" t="s">
        <v>78</v>
      </c>
      <c r="H226">
        <v>5</v>
      </c>
      <c r="I226">
        <v>981</v>
      </c>
      <c r="J226">
        <v>4905</v>
      </c>
    </row>
    <row r="227" spans="1:10" x14ac:dyDescent="0.3">
      <c r="A227">
        <v>1235</v>
      </c>
      <c r="B227" t="s">
        <v>166</v>
      </c>
      <c r="C227" t="str">
        <f>TEXT(Sales[[#This Row],[Order_Date]],"mmm")</f>
        <v>Apr</v>
      </c>
      <c r="D227" t="s">
        <v>111</v>
      </c>
      <c r="E227" t="s">
        <v>25</v>
      </c>
      <c r="F227" t="s">
        <v>136</v>
      </c>
      <c r="G227" t="s">
        <v>22</v>
      </c>
      <c r="H227">
        <v>3</v>
      </c>
      <c r="I227">
        <v>4648</v>
      </c>
      <c r="J227">
        <v>13944</v>
      </c>
    </row>
    <row r="228" spans="1:10" x14ac:dyDescent="0.3">
      <c r="A228">
        <v>1322</v>
      </c>
      <c r="B228" t="s">
        <v>382</v>
      </c>
      <c r="C228" t="str">
        <f>TEXT(Sales[[#This Row],[Order_Date]],"mmm")</f>
        <v>Jan</v>
      </c>
      <c r="D228" t="s">
        <v>386</v>
      </c>
      <c r="E228" t="s">
        <v>11</v>
      </c>
      <c r="F228" t="s">
        <v>17</v>
      </c>
      <c r="G228" t="s">
        <v>18</v>
      </c>
      <c r="H228">
        <v>1</v>
      </c>
      <c r="I228">
        <v>2651</v>
      </c>
      <c r="J228">
        <v>2651</v>
      </c>
    </row>
    <row r="229" spans="1:10" x14ac:dyDescent="0.3">
      <c r="A229">
        <v>1398</v>
      </c>
      <c r="B229" t="s">
        <v>387</v>
      </c>
      <c r="C229" t="str">
        <f>TEXT(Sales[[#This Row],[Order_Date]],"mmm")</f>
        <v>Dec</v>
      </c>
      <c r="D229" t="s">
        <v>388</v>
      </c>
      <c r="E229" t="s">
        <v>25</v>
      </c>
      <c r="F229" t="s">
        <v>89</v>
      </c>
      <c r="G229" t="s">
        <v>75</v>
      </c>
      <c r="H229">
        <v>5</v>
      </c>
      <c r="I229">
        <v>3033</v>
      </c>
      <c r="J229">
        <v>15165</v>
      </c>
    </row>
    <row r="230" spans="1:10" x14ac:dyDescent="0.3">
      <c r="A230">
        <v>1077</v>
      </c>
      <c r="B230" t="s">
        <v>329</v>
      </c>
      <c r="C230" t="str">
        <f>TEXT(Sales[[#This Row],[Order_Date]],"mmm")</f>
        <v>Jun</v>
      </c>
      <c r="D230" t="s">
        <v>24</v>
      </c>
      <c r="E230" t="s">
        <v>42</v>
      </c>
      <c r="F230" t="s">
        <v>136</v>
      </c>
      <c r="G230" t="s">
        <v>22</v>
      </c>
      <c r="H230">
        <v>4</v>
      </c>
      <c r="I230">
        <v>4219</v>
      </c>
      <c r="J230">
        <v>16876</v>
      </c>
    </row>
    <row r="231" spans="1:10" x14ac:dyDescent="0.3">
      <c r="A231">
        <v>1384</v>
      </c>
      <c r="B231" t="s">
        <v>389</v>
      </c>
      <c r="C231" t="str">
        <f>TEXT(Sales[[#This Row],[Order_Date]],"mmm")</f>
        <v>Aug</v>
      </c>
      <c r="D231" t="s">
        <v>390</v>
      </c>
      <c r="E231" t="s">
        <v>16</v>
      </c>
      <c r="F231" t="s">
        <v>136</v>
      </c>
      <c r="G231" t="s">
        <v>124</v>
      </c>
      <c r="H231">
        <v>1</v>
      </c>
      <c r="I231">
        <v>872</v>
      </c>
      <c r="J231">
        <v>872</v>
      </c>
    </row>
    <row r="232" spans="1:10" x14ac:dyDescent="0.3">
      <c r="A232">
        <v>1157</v>
      </c>
      <c r="B232" t="s">
        <v>149</v>
      </c>
      <c r="C232" t="str">
        <f>TEXT(Sales[[#This Row],[Order_Date]],"mmm")</f>
        <v>Jul</v>
      </c>
      <c r="D232" t="s">
        <v>372</v>
      </c>
      <c r="E232" t="s">
        <v>42</v>
      </c>
      <c r="F232" t="s">
        <v>89</v>
      </c>
      <c r="G232" t="s">
        <v>27</v>
      </c>
      <c r="H232">
        <v>3</v>
      </c>
      <c r="I232">
        <v>3843</v>
      </c>
      <c r="J232">
        <v>11529</v>
      </c>
    </row>
    <row r="233" spans="1:10" x14ac:dyDescent="0.3">
      <c r="A233">
        <v>1135</v>
      </c>
      <c r="B233" t="s">
        <v>391</v>
      </c>
      <c r="C233" t="str">
        <f>TEXT(Sales[[#This Row],[Order_Date]],"mmm")</f>
        <v>Feb</v>
      </c>
      <c r="D233" t="s">
        <v>390</v>
      </c>
      <c r="E233" t="s">
        <v>25</v>
      </c>
      <c r="F233" t="s">
        <v>136</v>
      </c>
      <c r="G233" t="s">
        <v>46</v>
      </c>
      <c r="H233">
        <v>1</v>
      </c>
      <c r="I233">
        <v>934</v>
      </c>
      <c r="J233">
        <v>934</v>
      </c>
    </row>
    <row r="234" spans="1:10" x14ac:dyDescent="0.3">
      <c r="A234">
        <v>1332</v>
      </c>
      <c r="B234" t="s">
        <v>392</v>
      </c>
      <c r="C234" t="str">
        <f>TEXT(Sales[[#This Row],[Order_Date]],"mmm")</f>
        <v>Jul</v>
      </c>
      <c r="D234" t="s">
        <v>354</v>
      </c>
      <c r="E234" t="s">
        <v>25</v>
      </c>
      <c r="F234" t="s">
        <v>89</v>
      </c>
      <c r="G234" t="s">
        <v>75</v>
      </c>
      <c r="H234">
        <v>5</v>
      </c>
      <c r="I234">
        <v>2188</v>
      </c>
      <c r="J234">
        <v>10940</v>
      </c>
    </row>
    <row r="235" spans="1:10" x14ac:dyDescent="0.3">
      <c r="A235">
        <v>1389</v>
      </c>
      <c r="B235" t="s">
        <v>393</v>
      </c>
      <c r="C235" t="str">
        <f>TEXT(Sales[[#This Row],[Order_Date]],"mmm")</f>
        <v>Mar</v>
      </c>
      <c r="D235" t="s">
        <v>146</v>
      </c>
      <c r="E235" t="s">
        <v>16</v>
      </c>
      <c r="F235" t="s">
        <v>89</v>
      </c>
      <c r="G235" t="s">
        <v>95</v>
      </c>
      <c r="H235">
        <v>2</v>
      </c>
      <c r="I235">
        <v>718</v>
      </c>
      <c r="J235">
        <v>1436</v>
      </c>
    </row>
    <row r="236" spans="1:10" x14ac:dyDescent="0.3">
      <c r="A236">
        <v>1306</v>
      </c>
      <c r="B236" t="s">
        <v>221</v>
      </c>
      <c r="C236" t="str">
        <f>TEXT(Sales[[#This Row],[Order_Date]],"mmm")</f>
        <v>Sep</v>
      </c>
      <c r="D236" t="s">
        <v>214</v>
      </c>
      <c r="E236" t="s">
        <v>16</v>
      </c>
      <c r="F236" t="s">
        <v>83</v>
      </c>
      <c r="G236" t="s">
        <v>112</v>
      </c>
      <c r="H236">
        <v>4</v>
      </c>
      <c r="I236">
        <v>1801</v>
      </c>
      <c r="J236">
        <v>7204</v>
      </c>
    </row>
    <row r="237" spans="1:10" x14ac:dyDescent="0.3">
      <c r="A237">
        <v>1006</v>
      </c>
      <c r="B237" t="s">
        <v>255</v>
      </c>
      <c r="C237" t="str">
        <f>TEXT(Sales[[#This Row],[Order_Date]],"mmm")</f>
        <v>Jul</v>
      </c>
      <c r="D237" t="s">
        <v>265</v>
      </c>
      <c r="E237" t="s">
        <v>25</v>
      </c>
      <c r="F237" t="s">
        <v>136</v>
      </c>
      <c r="G237" t="s">
        <v>22</v>
      </c>
      <c r="H237">
        <v>4</v>
      </c>
      <c r="I237">
        <v>1315</v>
      </c>
      <c r="J237">
        <v>5260</v>
      </c>
    </row>
    <row r="238" spans="1:10" x14ac:dyDescent="0.3">
      <c r="A238">
        <v>1205</v>
      </c>
      <c r="B238" t="s">
        <v>178</v>
      </c>
      <c r="C238" t="str">
        <f>TEXT(Sales[[#This Row],[Order_Date]],"mmm")</f>
        <v>Sep</v>
      </c>
      <c r="D238" t="s">
        <v>97</v>
      </c>
      <c r="E238" t="s">
        <v>42</v>
      </c>
      <c r="F238" t="s">
        <v>17</v>
      </c>
      <c r="G238" t="s">
        <v>53</v>
      </c>
      <c r="H238">
        <v>4</v>
      </c>
      <c r="I238">
        <v>4917</v>
      </c>
      <c r="J238">
        <v>19668</v>
      </c>
    </row>
    <row r="239" spans="1:10" x14ac:dyDescent="0.3">
      <c r="A239">
        <v>1287</v>
      </c>
      <c r="B239" t="s">
        <v>394</v>
      </c>
      <c r="C239" t="str">
        <f>TEXT(Sales[[#This Row],[Order_Date]],"mmm")</f>
        <v>Jul</v>
      </c>
      <c r="D239" t="s">
        <v>230</v>
      </c>
      <c r="E239" t="s">
        <v>11</v>
      </c>
      <c r="F239" t="s">
        <v>83</v>
      </c>
      <c r="G239" t="s">
        <v>57</v>
      </c>
      <c r="H239">
        <v>5</v>
      </c>
      <c r="I239">
        <v>420</v>
      </c>
      <c r="J239">
        <v>2100</v>
      </c>
    </row>
    <row r="240" spans="1:10" x14ac:dyDescent="0.3">
      <c r="A240">
        <v>1214</v>
      </c>
      <c r="B240" t="s">
        <v>190</v>
      </c>
      <c r="C240" t="str">
        <f>TEXT(Sales[[#This Row],[Order_Date]],"mmm")</f>
        <v>Aug</v>
      </c>
      <c r="D240" t="s">
        <v>395</v>
      </c>
      <c r="E240" t="s">
        <v>16</v>
      </c>
      <c r="F240" t="s">
        <v>89</v>
      </c>
      <c r="G240" t="s">
        <v>27</v>
      </c>
      <c r="H240">
        <v>2</v>
      </c>
      <c r="I240">
        <v>2680</v>
      </c>
      <c r="J240">
        <v>5360</v>
      </c>
    </row>
    <row r="241" spans="1:10" x14ac:dyDescent="0.3">
      <c r="A241">
        <v>1433</v>
      </c>
      <c r="B241" t="s">
        <v>396</v>
      </c>
      <c r="C241" t="str">
        <f>TEXT(Sales[[#This Row],[Order_Date]],"mmm")</f>
        <v>Jul</v>
      </c>
      <c r="D241" t="s">
        <v>397</v>
      </c>
      <c r="E241" t="s">
        <v>11</v>
      </c>
      <c r="F241" t="s">
        <v>136</v>
      </c>
      <c r="G241" t="s">
        <v>67</v>
      </c>
      <c r="H241">
        <v>5</v>
      </c>
      <c r="I241">
        <v>4350</v>
      </c>
      <c r="J241">
        <v>21750</v>
      </c>
    </row>
    <row r="242" spans="1:10" x14ac:dyDescent="0.3">
      <c r="A242">
        <v>1428</v>
      </c>
      <c r="B242" t="s">
        <v>207</v>
      </c>
      <c r="C242" t="str">
        <f>TEXT(Sales[[#This Row],[Order_Date]],"mmm")</f>
        <v>Oct</v>
      </c>
      <c r="D242" t="s">
        <v>216</v>
      </c>
      <c r="E242" t="s">
        <v>25</v>
      </c>
      <c r="F242" t="s">
        <v>89</v>
      </c>
      <c r="G242" t="s">
        <v>133</v>
      </c>
      <c r="H242">
        <v>2</v>
      </c>
      <c r="I242">
        <v>3108</v>
      </c>
      <c r="J242">
        <v>6216</v>
      </c>
    </row>
    <row r="243" spans="1:10" x14ac:dyDescent="0.3">
      <c r="A243">
        <v>1576</v>
      </c>
      <c r="B243" t="s">
        <v>398</v>
      </c>
      <c r="C243" t="str">
        <f>TEXT(Sales[[#This Row],[Order_Date]],"mmm")</f>
        <v>Nov</v>
      </c>
      <c r="D243" t="s">
        <v>151</v>
      </c>
      <c r="E243" t="s">
        <v>25</v>
      </c>
      <c r="F243" t="s">
        <v>136</v>
      </c>
      <c r="G243" t="s">
        <v>22</v>
      </c>
      <c r="H243">
        <v>1</v>
      </c>
      <c r="I243">
        <v>1007</v>
      </c>
      <c r="J243">
        <v>1007</v>
      </c>
    </row>
    <row r="244" spans="1:10" x14ac:dyDescent="0.3">
      <c r="A244">
        <v>1531</v>
      </c>
      <c r="B244" t="s">
        <v>229</v>
      </c>
      <c r="C244" t="str">
        <f>TEXT(Sales[[#This Row],[Order_Date]],"mmm")</f>
        <v>Oct</v>
      </c>
      <c r="D244" t="s">
        <v>159</v>
      </c>
      <c r="E244" t="s">
        <v>11</v>
      </c>
      <c r="F244" t="s">
        <v>17</v>
      </c>
      <c r="G244" t="s">
        <v>53</v>
      </c>
      <c r="H244">
        <v>4</v>
      </c>
      <c r="I244">
        <v>4299</v>
      </c>
      <c r="J244">
        <v>17196</v>
      </c>
    </row>
    <row r="245" spans="1:10" x14ac:dyDescent="0.3">
      <c r="A245">
        <v>1494</v>
      </c>
      <c r="B245" t="s">
        <v>399</v>
      </c>
      <c r="C245" t="str">
        <f>TEXT(Sales[[#This Row],[Order_Date]],"mmm")</f>
        <v>Feb</v>
      </c>
      <c r="D245" t="s">
        <v>282</v>
      </c>
      <c r="E245" t="s">
        <v>11</v>
      </c>
      <c r="F245" t="s">
        <v>136</v>
      </c>
      <c r="G245" t="s">
        <v>124</v>
      </c>
      <c r="H245">
        <v>3</v>
      </c>
      <c r="I245">
        <v>2755</v>
      </c>
      <c r="J245">
        <v>8265</v>
      </c>
    </row>
    <row r="246" spans="1:10" x14ac:dyDescent="0.3">
      <c r="A246">
        <v>1533</v>
      </c>
      <c r="B246" t="s">
        <v>221</v>
      </c>
      <c r="C246" t="str">
        <f>TEXT(Sales[[#This Row],[Order_Date]],"mmm")</f>
        <v>Sep</v>
      </c>
      <c r="D246" t="s">
        <v>400</v>
      </c>
      <c r="E246" t="s">
        <v>16</v>
      </c>
      <c r="F246" t="s">
        <v>136</v>
      </c>
      <c r="G246" t="s">
        <v>124</v>
      </c>
      <c r="H246">
        <v>3</v>
      </c>
      <c r="I246">
        <v>750</v>
      </c>
      <c r="J246">
        <v>2250</v>
      </c>
    </row>
    <row r="247" spans="1:10" x14ac:dyDescent="0.3">
      <c r="A247">
        <v>1117</v>
      </c>
      <c r="B247" t="s">
        <v>401</v>
      </c>
      <c r="C247" t="str">
        <f>TEXT(Sales[[#This Row],[Order_Date]],"mmm")</f>
        <v>Jan</v>
      </c>
      <c r="D247" t="s">
        <v>126</v>
      </c>
      <c r="E247" t="s">
        <v>16</v>
      </c>
      <c r="F247" t="s">
        <v>89</v>
      </c>
      <c r="G247" t="s">
        <v>27</v>
      </c>
      <c r="H247">
        <v>5</v>
      </c>
      <c r="I247">
        <v>1629</v>
      </c>
      <c r="J247">
        <v>8145</v>
      </c>
    </row>
    <row r="248" spans="1:10" x14ac:dyDescent="0.3">
      <c r="A248">
        <v>1436</v>
      </c>
      <c r="B248" t="s">
        <v>81</v>
      </c>
      <c r="C248" t="str">
        <f>TEXT(Sales[[#This Row],[Order_Date]],"mmm")</f>
        <v>Aug</v>
      </c>
      <c r="D248" t="s">
        <v>173</v>
      </c>
      <c r="E248" t="s">
        <v>11</v>
      </c>
      <c r="F248" t="s">
        <v>136</v>
      </c>
      <c r="G248" t="s">
        <v>128</v>
      </c>
      <c r="H248">
        <v>4</v>
      </c>
      <c r="I248">
        <v>439</v>
      </c>
      <c r="J248">
        <v>1756</v>
      </c>
    </row>
    <row r="249" spans="1:10" x14ac:dyDescent="0.3">
      <c r="A249">
        <v>1460</v>
      </c>
      <c r="B249" t="s">
        <v>402</v>
      </c>
      <c r="C249" t="str">
        <f>TEXT(Sales[[#This Row],[Order_Date]],"mmm")</f>
        <v>Oct</v>
      </c>
      <c r="D249" t="s">
        <v>48</v>
      </c>
      <c r="E249" t="s">
        <v>16</v>
      </c>
      <c r="F249" t="s">
        <v>136</v>
      </c>
      <c r="G249" t="s">
        <v>124</v>
      </c>
      <c r="H249">
        <v>3</v>
      </c>
      <c r="I249">
        <v>712</v>
      </c>
      <c r="J249">
        <v>2136</v>
      </c>
    </row>
    <row r="250" spans="1:10" x14ac:dyDescent="0.3">
      <c r="A250">
        <v>1549</v>
      </c>
      <c r="B250" t="s">
        <v>90</v>
      </c>
      <c r="C250" t="str">
        <f>TEXT(Sales[[#This Row],[Order_Date]],"mmm")</f>
        <v>Apr</v>
      </c>
      <c r="D250" t="s">
        <v>230</v>
      </c>
      <c r="E250" t="s">
        <v>25</v>
      </c>
      <c r="F250" t="s">
        <v>89</v>
      </c>
      <c r="G250" t="s">
        <v>13</v>
      </c>
      <c r="H250">
        <v>3</v>
      </c>
      <c r="I250">
        <v>4209</v>
      </c>
      <c r="J250">
        <v>12627</v>
      </c>
    </row>
    <row r="251" spans="1:10" x14ac:dyDescent="0.3">
      <c r="A251">
        <v>1397</v>
      </c>
      <c r="B251" t="s">
        <v>403</v>
      </c>
      <c r="C251" t="str">
        <f>TEXT(Sales[[#This Row],[Order_Date]],"mmm")</f>
        <v>Nov</v>
      </c>
      <c r="D251" t="s">
        <v>404</v>
      </c>
      <c r="E251" t="s">
        <v>16</v>
      </c>
      <c r="F251" t="s">
        <v>83</v>
      </c>
      <c r="G251" t="s">
        <v>112</v>
      </c>
      <c r="H251">
        <v>5</v>
      </c>
      <c r="I251">
        <v>1613</v>
      </c>
      <c r="J251">
        <v>8065</v>
      </c>
    </row>
    <row r="252" spans="1:10" x14ac:dyDescent="0.3">
      <c r="A252">
        <v>1304</v>
      </c>
      <c r="B252" t="s">
        <v>405</v>
      </c>
      <c r="C252" t="str">
        <f>TEXT(Sales[[#This Row],[Order_Date]],"mmm")</f>
        <v>Nov</v>
      </c>
      <c r="D252" t="s">
        <v>271</v>
      </c>
      <c r="E252" t="s">
        <v>25</v>
      </c>
      <c r="F252" t="s">
        <v>83</v>
      </c>
      <c r="G252" t="s">
        <v>93</v>
      </c>
      <c r="H252">
        <v>2</v>
      </c>
      <c r="I252">
        <v>2701</v>
      </c>
      <c r="J252">
        <v>5402</v>
      </c>
    </row>
    <row r="253" spans="1:10" x14ac:dyDescent="0.3">
      <c r="A253">
        <v>1144</v>
      </c>
      <c r="B253" t="s">
        <v>406</v>
      </c>
      <c r="C253" t="str">
        <f>TEXT(Sales[[#This Row],[Order_Date]],"mmm")</f>
        <v>Sep</v>
      </c>
      <c r="D253" t="s">
        <v>276</v>
      </c>
      <c r="E253" t="s">
        <v>11</v>
      </c>
      <c r="F253" t="s">
        <v>136</v>
      </c>
      <c r="G253" t="s">
        <v>67</v>
      </c>
      <c r="H253">
        <v>4</v>
      </c>
      <c r="I253">
        <v>1721</v>
      </c>
      <c r="J253">
        <v>6884</v>
      </c>
    </row>
    <row r="254" spans="1:10" x14ac:dyDescent="0.3">
      <c r="A254">
        <v>1177</v>
      </c>
      <c r="B254" t="s">
        <v>407</v>
      </c>
      <c r="C254" t="str">
        <f>TEXT(Sales[[#This Row],[Order_Date]],"mmm")</f>
        <v>Oct</v>
      </c>
      <c r="D254" t="s">
        <v>218</v>
      </c>
      <c r="E254" t="s">
        <v>11</v>
      </c>
      <c r="F254" t="s">
        <v>136</v>
      </c>
      <c r="G254" t="s">
        <v>22</v>
      </c>
      <c r="H254">
        <v>3</v>
      </c>
      <c r="I254">
        <v>3894</v>
      </c>
      <c r="J254">
        <v>11682</v>
      </c>
    </row>
    <row r="255" spans="1:10" x14ac:dyDescent="0.3">
      <c r="A255">
        <v>1009</v>
      </c>
      <c r="B255" t="s">
        <v>408</v>
      </c>
      <c r="C255" t="str">
        <f>TEXT(Sales[[#This Row],[Order_Date]],"mmm")</f>
        <v>Sep</v>
      </c>
      <c r="D255" t="s">
        <v>409</v>
      </c>
      <c r="E255" t="s">
        <v>11</v>
      </c>
      <c r="F255" t="s">
        <v>17</v>
      </c>
      <c r="G255" t="s">
        <v>53</v>
      </c>
      <c r="H255">
        <v>4</v>
      </c>
      <c r="I255">
        <v>3604</v>
      </c>
      <c r="J255">
        <v>14416</v>
      </c>
    </row>
    <row r="256" spans="1:10" x14ac:dyDescent="0.3">
      <c r="A256">
        <v>1171</v>
      </c>
      <c r="B256" t="s">
        <v>410</v>
      </c>
      <c r="C256" t="str">
        <f>TEXT(Sales[[#This Row],[Order_Date]],"mmm")</f>
        <v>Feb</v>
      </c>
      <c r="D256" t="s">
        <v>222</v>
      </c>
      <c r="E256" t="s">
        <v>42</v>
      </c>
      <c r="F256" t="s">
        <v>83</v>
      </c>
      <c r="G256" t="s">
        <v>93</v>
      </c>
      <c r="H256">
        <v>3</v>
      </c>
      <c r="I256">
        <v>2041</v>
      </c>
      <c r="J256">
        <v>6123</v>
      </c>
    </row>
    <row r="257" spans="1:10" x14ac:dyDescent="0.3">
      <c r="A257">
        <v>1468</v>
      </c>
      <c r="B257" t="s">
        <v>235</v>
      </c>
      <c r="C257" t="str">
        <f>TEXT(Sales[[#This Row],[Order_Date]],"mmm")</f>
        <v>Oct</v>
      </c>
      <c r="D257" t="s">
        <v>210</v>
      </c>
      <c r="E257" t="s">
        <v>25</v>
      </c>
      <c r="F257" t="s">
        <v>136</v>
      </c>
      <c r="G257" t="s">
        <v>67</v>
      </c>
      <c r="H257">
        <v>3</v>
      </c>
      <c r="I257">
        <v>4649</v>
      </c>
      <c r="J257">
        <v>13947</v>
      </c>
    </row>
    <row r="258" spans="1:10" x14ac:dyDescent="0.3">
      <c r="A258">
        <v>1042</v>
      </c>
      <c r="B258" t="s">
        <v>411</v>
      </c>
      <c r="C258" t="str">
        <f>TEXT(Sales[[#This Row],[Order_Date]],"mmm")</f>
        <v>Aug</v>
      </c>
      <c r="D258" t="s">
        <v>412</v>
      </c>
      <c r="E258" t="s">
        <v>16</v>
      </c>
      <c r="F258" t="s">
        <v>17</v>
      </c>
      <c r="G258" t="s">
        <v>53</v>
      </c>
      <c r="H258">
        <v>3</v>
      </c>
      <c r="I258">
        <v>464</v>
      </c>
      <c r="J258">
        <v>1392</v>
      </c>
    </row>
    <row r="259" spans="1:10" x14ac:dyDescent="0.3">
      <c r="A259">
        <v>1089</v>
      </c>
      <c r="B259" t="s">
        <v>190</v>
      </c>
      <c r="C259" t="str">
        <f>TEXT(Sales[[#This Row],[Order_Date]],"mmm")</f>
        <v>Aug</v>
      </c>
      <c r="D259" t="s">
        <v>116</v>
      </c>
      <c r="E259" t="s">
        <v>25</v>
      </c>
      <c r="F259" t="s">
        <v>83</v>
      </c>
      <c r="G259" t="s">
        <v>93</v>
      </c>
      <c r="H259">
        <v>5</v>
      </c>
      <c r="I259">
        <v>3707</v>
      </c>
      <c r="J259">
        <v>18535</v>
      </c>
    </row>
    <row r="260" spans="1:10" x14ac:dyDescent="0.3">
      <c r="A260">
        <v>1211</v>
      </c>
      <c r="B260" t="s">
        <v>413</v>
      </c>
      <c r="C260" t="str">
        <f>TEXT(Sales[[#This Row],[Order_Date]],"mmm")</f>
        <v>Apr</v>
      </c>
      <c r="D260" t="s">
        <v>251</v>
      </c>
      <c r="E260" t="s">
        <v>42</v>
      </c>
      <c r="F260" t="s">
        <v>83</v>
      </c>
      <c r="G260" t="s">
        <v>57</v>
      </c>
      <c r="H260">
        <v>5</v>
      </c>
      <c r="I260">
        <v>4613</v>
      </c>
      <c r="J260">
        <v>23065</v>
      </c>
    </row>
    <row r="261" spans="1:10" x14ac:dyDescent="0.3">
      <c r="A261">
        <v>1299</v>
      </c>
      <c r="B261" t="s">
        <v>261</v>
      </c>
      <c r="C261" t="str">
        <f>TEXT(Sales[[#This Row],[Order_Date]],"mmm")</f>
        <v>May</v>
      </c>
      <c r="D261" t="s">
        <v>414</v>
      </c>
      <c r="E261" t="s">
        <v>11</v>
      </c>
      <c r="F261" t="s">
        <v>89</v>
      </c>
      <c r="G261" t="s">
        <v>133</v>
      </c>
      <c r="H261">
        <v>4</v>
      </c>
      <c r="I261">
        <v>685</v>
      </c>
      <c r="J261">
        <v>2740</v>
      </c>
    </row>
    <row r="262" spans="1:10" x14ac:dyDescent="0.3">
      <c r="A262">
        <v>1129</v>
      </c>
      <c r="B262" t="s">
        <v>384</v>
      </c>
      <c r="C262" t="str">
        <f>TEXT(Sales[[#This Row],[Order_Date]],"mmm")</f>
        <v>Dec</v>
      </c>
      <c r="D262" t="s">
        <v>116</v>
      </c>
      <c r="E262" t="s">
        <v>25</v>
      </c>
      <c r="F262" t="s">
        <v>17</v>
      </c>
      <c r="G262" t="s">
        <v>114</v>
      </c>
      <c r="H262">
        <v>2</v>
      </c>
      <c r="I262">
        <v>3417</v>
      </c>
      <c r="J262">
        <v>6834</v>
      </c>
    </row>
    <row r="263" spans="1:10" x14ac:dyDescent="0.3">
      <c r="A263">
        <v>1275</v>
      </c>
      <c r="B263" t="s">
        <v>268</v>
      </c>
      <c r="C263" t="str">
        <f>TEXT(Sales[[#This Row],[Order_Date]],"mmm")</f>
        <v>Nov</v>
      </c>
      <c r="D263" t="s">
        <v>245</v>
      </c>
      <c r="E263" t="s">
        <v>25</v>
      </c>
      <c r="F263" t="s">
        <v>136</v>
      </c>
      <c r="G263" t="s">
        <v>46</v>
      </c>
      <c r="H263">
        <v>4</v>
      </c>
      <c r="I263">
        <v>4423</v>
      </c>
      <c r="J263">
        <v>17692</v>
      </c>
    </row>
    <row r="264" spans="1:10" x14ac:dyDescent="0.3">
      <c r="A264">
        <v>1377</v>
      </c>
      <c r="B264" t="s">
        <v>86</v>
      </c>
      <c r="C264" t="str">
        <f>TEXT(Sales[[#This Row],[Order_Date]],"mmm")</f>
        <v>Aug</v>
      </c>
      <c r="D264" t="s">
        <v>193</v>
      </c>
      <c r="E264" t="s">
        <v>25</v>
      </c>
      <c r="F264" t="s">
        <v>136</v>
      </c>
      <c r="G264" t="s">
        <v>22</v>
      </c>
      <c r="H264">
        <v>4</v>
      </c>
      <c r="I264">
        <v>3134</v>
      </c>
      <c r="J264">
        <v>12536</v>
      </c>
    </row>
    <row r="265" spans="1:10" x14ac:dyDescent="0.3">
      <c r="A265">
        <v>1407</v>
      </c>
      <c r="B265" t="s">
        <v>233</v>
      </c>
      <c r="C265" t="str">
        <f>TEXT(Sales[[#This Row],[Order_Date]],"mmm")</f>
        <v>Apr</v>
      </c>
      <c r="D265" t="s">
        <v>318</v>
      </c>
      <c r="E265" t="s">
        <v>42</v>
      </c>
      <c r="F265" t="s">
        <v>136</v>
      </c>
      <c r="G265" t="s">
        <v>128</v>
      </c>
      <c r="H265">
        <v>3</v>
      </c>
      <c r="I265">
        <v>2523</v>
      </c>
      <c r="J265">
        <v>7569</v>
      </c>
    </row>
    <row r="266" spans="1:10" x14ac:dyDescent="0.3">
      <c r="A266">
        <v>1579</v>
      </c>
      <c r="B266" t="s">
        <v>408</v>
      </c>
      <c r="C266" t="str">
        <f>TEXT(Sales[[#This Row],[Order_Date]],"mmm")</f>
        <v>Sep</v>
      </c>
      <c r="D266" t="s">
        <v>187</v>
      </c>
      <c r="E266" t="s">
        <v>25</v>
      </c>
      <c r="F266" t="s">
        <v>89</v>
      </c>
      <c r="G266" t="s">
        <v>27</v>
      </c>
      <c r="H266">
        <v>4</v>
      </c>
      <c r="I266">
        <v>333</v>
      </c>
      <c r="J266">
        <v>1332</v>
      </c>
    </row>
    <row r="267" spans="1:10" x14ac:dyDescent="0.3">
      <c r="A267">
        <v>1451</v>
      </c>
      <c r="B267" t="s">
        <v>338</v>
      </c>
      <c r="C267" t="str">
        <f>TEXT(Sales[[#This Row],[Order_Date]],"mmm")</f>
        <v>Aug</v>
      </c>
      <c r="D267" t="s">
        <v>107</v>
      </c>
      <c r="E267" t="s">
        <v>42</v>
      </c>
      <c r="F267" t="s">
        <v>136</v>
      </c>
      <c r="G267" t="s">
        <v>128</v>
      </c>
      <c r="H267">
        <v>2</v>
      </c>
      <c r="I267">
        <v>2444</v>
      </c>
      <c r="J267">
        <v>4888</v>
      </c>
    </row>
    <row r="268" spans="1:10" x14ac:dyDescent="0.3">
      <c r="A268">
        <v>1084</v>
      </c>
      <c r="B268" t="s">
        <v>415</v>
      </c>
      <c r="C268" t="str">
        <f>TEXT(Sales[[#This Row],[Order_Date]],"mmm")</f>
        <v>Jul</v>
      </c>
      <c r="D268" t="s">
        <v>103</v>
      </c>
      <c r="E268" t="s">
        <v>42</v>
      </c>
      <c r="F268" t="s">
        <v>17</v>
      </c>
      <c r="G268" t="s">
        <v>72</v>
      </c>
      <c r="H268">
        <v>2</v>
      </c>
      <c r="I268">
        <v>3716</v>
      </c>
      <c r="J268">
        <v>7432</v>
      </c>
    </row>
    <row r="269" spans="1:10" x14ac:dyDescent="0.3">
      <c r="A269">
        <v>1001</v>
      </c>
      <c r="B269" t="s">
        <v>416</v>
      </c>
      <c r="C269" t="str">
        <f>TEXT(Sales[[#This Row],[Order_Date]],"mmm")</f>
        <v>Apr</v>
      </c>
      <c r="D269" t="s">
        <v>417</v>
      </c>
      <c r="E269" t="s">
        <v>16</v>
      </c>
      <c r="F269" t="s">
        <v>83</v>
      </c>
      <c r="G269" t="s">
        <v>93</v>
      </c>
      <c r="H269">
        <v>1</v>
      </c>
      <c r="I269">
        <v>266</v>
      </c>
      <c r="J269">
        <v>266</v>
      </c>
    </row>
    <row r="270" spans="1:10" x14ac:dyDescent="0.3">
      <c r="A270">
        <v>1432</v>
      </c>
      <c r="B270" t="s">
        <v>315</v>
      </c>
      <c r="C270" t="str">
        <f>TEXT(Sales[[#This Row],[Order_Date]],"mmm")</f>
        <v>Dec</v>
      </c>
      <c r="D270" t="s">
        <v>418</v>
      </c>
      <c r="E270" t="s">
        <v>11</v>
      </c>
      <c r="F270" t="s">
        <v>136</v>
      </c>
      <c r="G270" t="s">
        <v>124</v>
      </c>
      <c r="H270">
        <v>1</v>
      </c>
      <c r="I270">
        <v>1039</v>
      </c>
      <c r="J270">
        <v>1039</v>
      </c>
    </row>
    <row r="271" spans="1:10" x14ac:dyDescent="0.3">
      <c r="A271">
        <v>1306</v>
      </c>
      <c r="B271" t="s">
        <v>419</v>
      </c>
      <c r="C271" t="str">
        <f>TEXT(Sales[[#This Row],[Order_Date]],"mmm")</f>
        <v>Mar</v>
      </c>
      <c r="D271" t="s">
        <v>182</v>
      </c>
      <c r="E271" t="s">
        <v>42</v>
      </c>
      <c r="F271" t="s">
        <v>17</v>
      </c>
      <c r="G271" t="s">
        <v>114</v>
      </c>
      <c r="H271">
        <v>5</v>
      </c>
      <c r="I271">
        <v>1544</v>
      </c>
      <c r="J271">
        <v>7720</v>
      </c>
    </row>
    <row r="272" spans="1:10" x14ac:dyDescent="0.3">
      <c r="A272">
        <v>1155</v>
      </c>
      <c r="B272" t="s">
        <v>322</v>
      </c>
      <c r="C272" t="str">
        <f>TEXT(Sales[[#This Row],[Order_Date]],"mmm")</f>
        <v>Jul</v>
      </c>
      <c r="D272" t="s">
        <v>350</v>
      </c>
      <c r="E272" t="s">
        <v>25</v>
      </c>
      <c r="F272" t="s">
        <v>136</v>
      </c>
      <c r="G272" t="s">
        <v>128</v>
      </c>
      <c r="H272">
        <v>2</v>
      </c>
      <c r="I272">
        <v>1208</v>
      </c>
      <c r="J272">
        <v>2416</v>
      </c>
    </row>
    <row r="273" spans="1:10" x14ac:dyDescent="0.3">
      <c r="A273">
        <v>1439</v>
      </c>
      <c r="B273" t="s">
        <v>43</v>
      </c>
      <c r="C273" t="str">
        <f>TEXT(Sales[[#This Row],[Order_Date]],"mmm")</f>
        <v>Jun</v>
      </c>
      <c r="D273" t="s">
        <v>420</v>
      </c>
      <c r="E273" t="s">
        <v>25</v>
      </c>
      <c r="F273" t="s">
        <v>17</v>
      </c>
      <c r="G273" t="s">
        <v>114</v>
      </c>
      <c r="H273">
        <v>2</v>
      </c>
      <c r="I273">
        <v>4733</v>
      </c>
      <c r="J273">
        <v>9466</v>
      </c>
    </row>
    <row r="274" spans="1:10" x14ac:dyDescent="0.3">
      <c r="A274">
        <v>1291</v>
      </c>
      <c r="B274" t="s">
        <v>421</v>
      </c>
      <c r="C274" t="str">
        <f>TEXT(Sales[[#This Row],[Order_Date]],"mmm")</f>
        <v>Dec</v>
      </c>
      <c r="D274" t="s">
        <v>152</v>
      </c>
      <c r="E274" t="s">
        <v>11</v>
      </c>
      <c r="F274" t="s">
        <v>89</v>
      </c>
      <c r="G274" t="s">
        <v>13</v>
      </c>
      <c r="H274">
        <v>3</v>
      </c>
      <c r="I274">
        <v>647</v>
      </c>
      <c r="J274">
        <v>1941</v>
      </c>
    </row>
    <row r="275" spans="1:10" x14ac:dyDescent="0.3">
      <c r="A275">
        <v>1245</v>
      </c>
      <c r="B275" t="s">
        <v>334</v>
      </c>
      <c r="C275" t="str">
        <f>TEXT(Sales[[#This Row],[Order_Date]],"mmm")</f>
        <v>Sep</v>
      </c>
      <c r="D275" t="s">
        <v>422</v>
      </c>
      <c r="E275" t="s">
        <v>25</v>
      </c>
      <c r="F275" t="s">
        <v>83</v>
      </c>
      <c r="G275" t="s">
        <v>93</v>
      </c>
      <c r="H275">
        <v>5</v>
      </c>
      <c r="I275">
        <v>298</v>
      </c>
      <c r="J275">
        <v>1490</v>
      </c>
    </row>
    <row r="276" spans="1:10" x14ac:dyDescent="0.3">
      <c r="A276">
        <v>1135</v>
      </c>
      <c r="B276" t="s">
        <v>423</v>
      </c>
      <c r="C276" t="str">
        <f>TEXT(Sales[[#This Row],[Order_Date]],"mmm")</f>
        <v>Jul</v>
      </c>
      <c r="D276" t="s">
        <v>424</v>
      </c>
      <c r="E276" t="s">
        <v>657</v>
      </c>
      <c r="F276" t="s">
        <v>136</v>
      </c>
      <c r="G276" t="s">
        <v>22</v>
      </c>
      <c r="H276">
        <v>1</v>
      </c>
      <c r="I276">
        <v>336</v>
      </c>
      <c r="J276">
        <v>336</v>
      </c>
    </row>
    <row r="277" spans="1:10" x14ac:dyDescent="0.3">
      <c r="A277">
        <v>1220</v>
      </c>
      <c r="B277" t="s">
        <v>425</v>
      </c>
      <c r="C277" t="str">
        <f>TEXT(Sales[[#This Row],[Order_Date]],"mmm")</f>
        <v>Jan</v>
      </c>
      <c r="D277" t="s">
        <v>426</v>
      </c>
      <c r="E277" t="s">
        <v>11</v>
      </c>
      <c r="F277" t="s">
        <v>83</v>
      </c>
      <c r="G277" t="s">
        <v>78</v>
      </c>
      <c r="H277">
        <v>4</v>
      </c>
      <c r="I277">
        <v>3495</v>
      </c>
      <c r="J277">
        <v>13980</v>
      </c>
    </row>
    <row r="278" spans="1:10" x14ac:dyDescent="0.3">
      <c r="A278">
        <v>1156</v>
      </c>
      <c r="B278" t="s">
        <v>165</v>
      </c>
      <c r="C278" t="str">
        <f>TEXT(Sales[[#This Row],[Order_Date]],"mmm")</f>
        <v>May</v>
      </c>
      <c r="D278" t="s">
        <v>132</v>
      </c>
      <c r="E278" t="s">
        <v>11</v>
      </c>
      <c r="F278" t="s">
        <v>89</v>
      </c>
      <c r="G278" t="s">
        <v>27</v>
      </c>
      <c r="H278">
        <v>5</v>
      </c>
      <c r="I278">
        <v>2876</v>
      </c>
      <c r="J278">
        <v>14380</v>
      </c>
    </row>
    <row r="279" spans="1:10" x14ac:dyDescent="0.3">
      <c r="A279">
        <v>1067</v>
      </c>
      <c r="B279" t="s">
        <v>427</v>
      </c>
      <c r="C279" t="str">
        <f>TEXT(Sales[[#This Row],[Order_Date]],"mmm")</f>
        <v>Jun</v>
      </c>
      <c r="D279" t="s">
        <v>20</v>
      </c>
      <c r="E279" t="s">
        <v>16</v>
      </c>
      <c r="F279" t="s">
        <v>136</v>
      </c>
      <c r="G279" t="s">
        <v>128</v>
      </c>
      <c r="H279">
        <v>1</v>
      </c>
      <c r="I279">
        <v>3759</v>
      </c>
      <c r="J279">
        <v>3759</v>
      </c>
    </row>
    <row r="280" spans="1:10" x14ac:dyDescent="0.3">
      <c r="A280">
        <v>1056</v>
      </c>
      <c r="B280" t="s">
        <v>427</v>
      </c>
      <c r="C280" t="str">
        <f>TEXT(Sales[[#This Row],[Order_Date]],"mmm")</f>
        <v>Jun</v>
      </c>
      <c r="D280" t="s">
        <v>103</v>
      </c>
      <c r="E280" t="s">
        <v>11</v>
      </c>
      <c r="F280" t="s">
        <v>17</v>
      </c>
      <c r="G280" t="s">
        <v>72</v>
      </c>
      <c r="H280">
        <v>1</v>
      </c>
      <c r="I280">
        <v>1542</v>
      </c>
      <c r="J280">
        <v>1542</v>
      </c>
    </row>
    <row r="281" spans="1:10" x14ac:dyDescent="0.3">
      <c r="A281">
        <v>1529</v>
      </c>
      <c r="B281" t="s">
        <v>428</v>
      </c>
      <c r="C281" t="str">
        <f>TEXT(Sales[[#This Row],[Order_Date]],"mmm")</f>
        <v>May</v>
      </c>
      <c r="D281" t="s">
        <v>218</v>
      </c>
      <c r="E281" t="s">
        <v>25</v>
      </c>
      <c r="F281" t="s">
        <v>89</v>
      </c>
      <c r="G281" t="s">
        <v>13</v>
      </c>
      <c r="H281">
        <v>1</v>
      </c>
      <c r="I281">
        <v>2944</v>
      </c>
      <c r="J281">
        <v>2944</v>
      </c>
    </row>
    <row r="282" spans="1:10" x14ac:dyDescent="0.3">
      <c r="A282">
        <v>1065</v>
      </c>
      <c r="B282" t="s">
        <v>429</v>
      </c>
      <c r="C282" t="str">
        <f>TEXT(Sales[[#This Row],[Order_Date]],"mmm")</f>
        <v>May</v>
      </c>
      <c r="D282" t="s">
        <v>289</v>
      </c>
      <c r="E282" t="s">
        <v>25</v>
      </c>
      <c r="F282" t="s">
        <v>83</v>
      </c>
      <c r="G282" t="s">
        <v>78</v>
      </c>
      <c r="H282">
        <v>1</v>
      </c>
      <c r="I282">
        <v>4292</v>
      </c>
      <c r="J282">
        <v>4292</v>
      </c>
    </row>
    <row r="283" spans="1:10" x14ac:dyDescent="0.3">
      <c r="A283">
        <v>1161</v>
      </c>
      <c r="B283" t="s">
        <v>122</v>
      </c>
      <c r="C283" t="str">
        <f>TEXT(Sales[[#This Row],[Order_Date]],"mmm")</f>
        <v>May</v>
      </c>
      <c r="D283" t="s">
        <v>284</v>
      </c>
      <c r="E283" t="s">
        <v>16</v>
      </c>
      <c r="F283" t="s">
        <v>83</v>
      </c>
      <c r="G283" t="s">
        <v>57</v>
      </c>
      <c r="H283">
        <v>5</v>
      </c>
      <c r="I283">
        <v>221</v>
      </c>
      <c r="J283">
        <v>1105</v>
      </c>
    </row>
    <row r="284" spans="1:10" x14ac:dyDescent="0.3">
      <c r="A284">
        <v>1250</v>
      </c>
      <c r="B284" t="s">
        <v>134</v>
      </c>
      <c r="C284" t="str">
        <f>TEXT(Sales[[#This Row],[Order_Date]],"mmm")</f>
        <v>Jan</v>
      </c>
      <c r="D284" t="s">
        <v>430</v>
      </c>
      <c r="E284" t="s">
        <v>11</v>
      </c>
      <c r="F284" t="s">
        <v>89</v>
      </c>
      <c r="G284" t="s">
        <v>75</v>
      </c>
      <c r="H284">
        <v>1</v>
      </c>
      <c r="I284">
        <v>4729</v>
      </c>
      <c r="J284">
        <v>4729</v>
      </c>
    </row>
    <row r="285" spans="1:10" x14ac:dyDescent="0.3">
      <c r="A285">
        <v>1429</v>
      </c>
      <c r="B285" t="s">
        <v>155</v>
      </c>
      <c r="C285" t="str">
        <f>TEXT(Sales[[#This Row],[Order_Date]],"mmm")</f>
        <v>Apr</v>
      </c>
      <c r="D285" t="s">
        <v>239</v>
      </c>
      <c r="E285" t="s">
        <v>42</v>
      </c>
      <c r="F285" t="s">
        <v>17</v>
      </c>
      <c r="G285" t="s">
        <v>53</v>
      </c>
      <c r="H285">
        <v>1</v>
      </c>
      <c r="I285">
        <v>4882</v>
      </c>
      <c r="J285">
        <v>4882</v>
      </c>
    </row>
    <row r="286" spans="1:10" x14ac:dyDescent="0.3">
      <c r="A286">
        <v>1053</v>
      </c>
      <c r="B286" t="s">
        <v>364</v>
      </c>
      <c r="C286" t="str">
        <f>TEXT(Sales[[#This Row],[Order_Date]],"mmm")</f>
        <v>Apr</v>
      </c>
      <c r="D286" t="s">
        <v>326</v>
      </c>
      <c r="E286" t="s">
        <v>16</v>
      </c>
      <c r="F286" t="s">
        <v>83</v>
      </c>
      <c r="G286" t="s">
        <v>78</v>
      </c>
      <c r="H286">
        <v>3</v>
      </c>
      <c r="I286">
        <v>2745</v>
      </c>
      <c r="J286">
        <v>8235</v>
      </c>
    </row>
    <row r="287" spans="1:10" x14ac:dyDescent="0.3">
      <c r="A287">
        <v>1008</v>
      </c>
      <c r="B287" t="s">
        <v>431</v>
      </c>
      <c r="C287" t="str">
        <f>TEXT(Sales[[#This Row],[Order_Date]],"mmm")</f>
        <v>Jul</v>
      </c>
      <c r="D287" t="s">
        <v>432</v>
      </c>
      <c r="E287" t="s">
        <v>16</v>
      </c>
      <c r="F287" t="s">
        <v>89</v>
      </c>
      <c r="G287" t="s">
        <v>133</v>
      </c>
      <c r="H287">
        <v>4</v>
      </c>
      <c r="I287">
        <v>3216</v>
      </c>
      <c r="J287">
        <v>12864</v>
      </c>
    </row>
    <row r="288" spans="1:10" x14ac:dyDescent="0.3">
      <c r="A288">
        <v>1200</v>
      </c>
      <c r="B288" t="s">
        <v>380</v>
      </c>
      <c r="C288" t="str">
        <f>TEXT(Sales[[#This Row],[Order_Date]],"mmm")</f>
        <v>Oct</v>
      </c>
      <c r="D288" t="s">
        <v>433</v>
      </c>
      <c r="E288" t="s">
        <v>11</v>
      </c>
      <c r="F288" t="s">
        <v>17</v>
      </c>
      <c r="G288" t="s">
        <v>114</v>
      </c>
      <c r="H288">
        <v>1</v>
      </c>
      <c r="I288">
        <v>2108</v>
      </c>
      <c r="J288">
        <v>2108</v>
      </c>
    </row>
    <row r="289" spans="1:10" x14ac:dyDescent="0.3">
      <c r="A289">
        <v>1009</v>
      </c>
      <c r="B289" t="s">
        <v>434</v>
      </c>
      <c r="C289" t="str">
        <f>TEXT(Sales[[#This Row],[Order_Date]],"mmm")</f>
        <v>Jun</v>
      </c>
      <c r="D289" t="s">
        <v>107</v>
      </c>
      <c r="E289" t="s">
        <v>16</v>
      </c>
      <c r="F289" t="s">
        <v>136</v>
      </c>
      <c r="G289" t="s">
        <v>22</v>
      </c>
      <c r="H289">
        <v>5</v>
      </c>
      <c r="I289">
        <v>2151</v>
      </c>
      <c r="J289">
        <v>10755</v>
      </c>
    </row>
    <row r="290" spans="1:10" x14ac:dyDescent="0.3">
      <c r="A290">
        <v>1145</v>
      </c>
      <c r="B290" t="s">
        <v>435</v>
      </c>
      <c r="C290" t="str">
        <f>TEXT(Sales[[#This Row],[Order_Date]],"mmm")</f>
        <v>Dec</v>
      </c>
      <c r="D290" t="s">
        <v>436</v>
      </c>
      <c r="E290" t="s">
        <v>11</v>
      </c>
      <c r="F290" t="s">
        <v>83</v>
      </c>
      <c r="G290" t="s">
        <v>32</v>
      </c>
      <c r="H290">
        <v>3</v>
      </c>
      <c r="I290">
        <v>3955</v>
      </c>
      <c r="J290">
        <v>11865</v>
      </c>
    </row>
    <row r="291" spans="1:10" x14ac:dyDescent="0.3">
      <c r="A291">
        <v>1097</v>
      </c>
      <c r="B291" t="s">
        <v>437</v>
      </c>
      <c r="C291" t="str">
        <f>TEXT(Sales[[#This Row],[Order_Date]],"mmm")</f>
        <v>Sep</v>
      </c>
      <c r="D291" t="s">
        <v>409</v>
      </c>
      <c r="E291" t="s">
        <v>11</v>
      </c>
      <c r="F291" t="s">
        <v>136</v>
      </c>
      <c r="G291" t="s">
        <v>124</v>
      </c>
      <c r="H291">
        <v>2</v>
      </c>
      <c r="I291">
        <v>2139</v>
      </c>
      <c r="J291">
        <v>4278</v>
      </c>
    </row>
    <row r="292" spans="1:10" x14ac:dyDescent="0.3">
      <c r="A292">
        <v>1402</v>
      </c>
      <c r="B292" t="s">
        <v>360</v>
      </c>
      <c r="C292" t="str">
        <f>TEXT(Sales[[#This Row],[Order_Date]],"mmm")</f>
        <v>Dec</v>
      </c>
      <c r="D292" t="s">
        <v>293</v>
      </c>
      <c r="E292" t="s">
        <v>42</v>
      </c>
      <c r="F292" t="s">
        <v>89</v>
      </c>
      <c r="G292" t="s">
        <v>95</v>
      </c>
      <c r="H292">
        <v>2</v>
      </c>
      <c r="I292">
        <v>811</v>
      </c>
      <c r="J292">
        <v>1622</v>
      </c>
    </row>
    <row r="293" spans="1:10" x14ac:dyDescent="0.3">
      <c r="A293">
        <v>1598</v>
      </c>
      <c r="B293" t="s">
        <v>158</v>
      </c>
      <c r="C293" t="str">
        <f>TEXT(Sales[[#This Row],[Order_Date]],"mmm")</f>
        <v>Feb</v>
      </c>
      <c r="D293" t="s">
        <v>438</v>
      </c>
      <c r="E293" t="s">
        <v>16</v>
      </c>
      <c r="F293" t="s">
        <v>83</v>
      </c>
      <c r="G293" t="s">
        <v>93</v>
      </c>
      <c r="H293">
        <v>3</v>
      </c>
      <c r="I293">
        <v>3530</v>
      </c>
      <c r="J293">
        <v>10590</v>
      </c>
    </row>
    <row r="294" spans="1:10" x14ac:dyDescent="0.3">
      <c r="A294">
        <v>1212</v>
      </c>
      <c r="B294" t="s">
        <v>439</v>
      </c>
      <c r="C294" t="str">
        <f>TEXT(Sales[[#This Row],[Order_Date]],"mmm")</f>
        <v>Aug</v>
      </c>
      <c r="D294" t="s">
        <v>118</v>
      </c>
      <c r="E294" t="s">
        <v>25</v>
      </c>
      <c r="F294" t="s">
        <v>136</v>
      </c>
      <c r="G294" t="s">
        <v>22</v>
      </c>
      <c r="H294">
        <v>2</v>
      </c>
      <c r="I294">
        <v>2692</v>
      </c>
      <c r="J294">
        <v>5384</v>
      </c>
    </row>
    <row r="295" spans="1:10" x14ac:dyDescent="0.3">
      <c r="A295">
        <v>1041</v>
      </c>
      <c r="B295" t="s">
        <v>440</v>
      </c>
      <c r="C295" t="str">
        <f>TEXT(Sales[[#This Row],[Order_Date]],"mmm")</f>
        <v>Apr</v>
      </c>
      <c r="D295" t="s">
        <v>34</v>
      </c>
      <c r="E295" t="s">
        <v>16</v>
      </c>
      <c r="F295" t="s">
        <v>89</v>
      </c>
      <c r="G295" t="s">
        <v>13</v>
      </c>
      <c r="H295">
        <v>3</v>
      </c>
      <c r="I295">
        <v>3446</v>
      </c>
      <c r="J295">
        <v>10338</v>
      </c>
    </row>
    <row r="296" spans="1:10" x14ac:dyDescent="0.3">
      <c r="A296">
        <v>1266</v>
      </c>
      <c r="B296" t="s">
        <v>441</v>
      </c>
      <c r="C296" t="str">
        <f>TEXT(Sales[[#This Row],[Order_Date]],"mmm")</f>
        <v>Mar</v>
      </c>
      <c r="D296" t="s">
        <v>442</v>
      </c>
      <c r="E296" t="s">
        <v>25</v>
      </c>
      <c r="F296" t="s">
        <v>136</v>
      </c>
      <c r="G296" t="s">
        <v>46</v>
      </c>
      <c r="H296">
        <v>4</v>
      </c>
      <c r="I296">
        <v>1034</v>
      </c>
      <c r="J296">
        <v>4136</v>
      </c>
    </row>
    <row r="297" spans="1:10" x14ac:dyDescent="0.3">
      <c r="A297">
        <v>1012</v>
      </c>
      <c r="B297" t="s">
        <v>79</v>
      </c>
      <c r="C297" t="str">
        <f>TEXT(Sales[[#This Row],[Order_Date]],"mmm")</f>
        <v>Feb</v>
      </c>
      <c r="D297" t="s">
        <v>293</v>
      </c>
      <c r="E297" t="s">
        <v>11</v>
      </c>
      <c r="F297" t="s">
        <v>17</v>
      </c>
      <c r="G297" t="s">
        <v>114</v>
      </c>
      <c r="H297">
        <v>3</v>
      </c>
      <c r="I297">
        <v>888</v>
      </c>
      <c r="J297">
        <v>2664</v>
      </c>
    </row>
    <row r="298" spans="1:10" x14ac:dyDescent="0.3">
      <c r="A298">
        <v>1076</v>
      </c>
      <c r="B298" t="s">
        <v>401</v>
      </c>
      <c r="C298" t="str">
        <f>TEXT(Sales[[#This Row],[Order_Date]],"mmm")</f>
        <v>Jan</v>
      </c>
      <c r="D298" t="s">
        <v>361</v>
      </c>
      <c r="E298" t="s">
        <v>25</v>
      </c>
      <c r="F298" t="s">
        <v>17</v>
      </c>
      <c r="G298" t="s">
        <v>53</v>
      </c>
      <c r="H298">
        <v>3</v>
      </c>
      <c r="I298">
        <v>1203</v>
      </c>
      <c r="J298">
        <v>3609</v>
      </c>
    </row>
    <row r="299" spans="1:10" x14ac:dyDescent="0.3">
      <c r="A299">
        <v>1172</v>
      </c>
      <c r="B299" t="s">
        <v>443</v>
      </c>
      <c r="C299" t="str">
        <f>TEXT(Sales[[#This Row],[Order_Date]],"mmm")</f>
        <v>Oct</v>
      </c>
      <c r="D299" t="s">
        <v>444</v>
      </c>
      <c r="E299" t="s">
        <v>11</v>
      </c>
      <c r="F299" t="s">
        <v>136</v>
      </c>
      <c r="G299" t="s">
        <v>46</v>
      </c>
      <c r="H299">
        <v>4</v>
      </c>
      <c r="I299">
        <v>1615</v>
      </c>
      <c r="J299">
        <v>6460</v>
      </c>
    </row>
    <row r="300" spans="1:10" x14ac:dyDescent="0.3">
      <c r="A300">
        <v>1281</v>
      </c>
      <c r="B300" t="s">
        <v>336</v>
      </c>
      <c r="C300" t="str">
        <f>TEXT(Sales[[#This Row],[Order_Date]],"mmm")</f>
        <v>May</v>
      </c>
      <c r="D300" t="s">
        <v>445</v>
      </c>
      <c r="E300" t="s">
        <v>42</v>
      </c>
      <c r="F300" t="s">
        <v>17</v>
      </c>
      <c r="G300" t="s">
        <v>72</v>
      </c>
      <c r="H300">
        <v>4</v>
      </c>
      <c r="I300">
        <v>3575</v>
      </c>
      <c r="J300">
        <v>14300</v>
      </c>
    </row>
    <row r="301" spans="1:10" x14ac:dyDescent="0.3">
      <c r="A301">
        <v>1089</v>
      </c>
      <c r="B301" t="s">
        <v>336</v>
      </c>
      <c r="C301" t="str">
        <f>TEXT(Sales[[#This Row],[Order_Date]],"mmm")</f>
        <v>May</v>
      </c>
      <c r="D301" t="s">
        <v>422</v>
      </c>
      <c r="E301" t="s">
        <v>16</v>
      </c>
      <c r="F301" t="s">
        <v>17</v>
      </c>
      <c r="G301" t="s">
        <v>53</v>
      </c>
      <c r="H301">
        <v>5</v>
      </c>
      <c r="I301">
        <v>359</v>
      </c>
      <c r="J301">
        <v>1795</v>
      </c>
    </row>
    <row r="302" spans="1:10" x14ac:dyDescent="0.3">
      <c r="A302">
        <v>1367</v>
      </c>
      <c r="B302" t="s">
        <v>178</v>
      </c>
      <c r="C302" t="str">
        <f>TEXT(Sales[[#This Row],[Order_Date]],"mmm")</f>
        <v>Sep</v>
      </c>
      <c r="D302" t="s">
        <v>412</v>
      </c>
      <c r="E302" t="s">
        <v>11</v>
      </c>
      <c r="F302" t="s">
        <v>136</v>
      </c>
      <c r="G302" t="s">
        <v>22</v>
      </c>
      <c r="H302">
        <v>3</v>
      </c>
      <c r="I302">
        <v>1673</v>
      </c>
      <c r="J302">
        <v>5019</v>
      </c>
    </row>
    <row r="303" spans="1:10" x14ac:dyDescent="0.3">
      <c r="A303">
        <v>1030</v>
      </c>
      <c r="B303" t="s">
        <v>336</v>
      </c>
      <c r="C303" t="str">
        <f>TEXT(Sales[[#This Row],[Order_Date]],"mmm")</f>
        <v>May</v>
      </c>
      <c r="D303" t="s">
        <v>64</v>
      </c>
      <c r="E303" t="s">
        <v>16</v>
      </c>
      <c r="F303" t="s">
        <v>136</v>
      </c>
      <c r="G303" t="s">
        <v>67</v>
      </c>
      <c r="H303">
        <v>2</v>
      </c>
      <c r="I303">
        <v>1020</v>
      </c>
      <c r="J303">
        <v>2040</v>
      </c>
    </row>
    <row r="304" spans="1:10" x14ac:dyDescent="0.3">
      <c r="A304">
        <v>1546</v>
      </c>
      <c r="B304" t="s">
        <v>446</v>
      </c>
      <c r="C304" t="str">
        <f>TEXT(Sales[[#This Row],[Order_Date]],"mmm")</f>
        <v>Jan</v>
      </c>
      <c r="D304" t="s">
        <v>59</v>
      </c>
      <c r="E304" t="s">
        <v>25</v>
      </c>
      <c r="F304" t="s">
        <v>17</v>
      </c>
      <c r="G304" t="s">
        <v>18</v>
      </c>
      <c r="H304">
        <v>2</v>
      </c>
      <c r="I304">
        <v>1642</v>
      </c>
      <c r="J304">
        <v>3284</v>
      </c>
    </row>
    <row r="305" spans="1:10" x14ac:dyDescent="0.3">
      <c r="A305">
        <v>1367</v>
      </c>
      <c r="B305" t="s">
        <v>447</v>
      </c>
      <c r="C305" t="str">
        <f>TEXT(Sales[[#This Row],[Order_Date]],"mmm")</f>
        <v>Oct</v>
      </c>
      <c r="D305" t="s">
        <v>442</v>
      </c>
      <c r="E305" t="s">
        <v>16</v>
      </c>
      <c r="F305" t="s">
        <v>89</v>
      </c>
      <c r="G305" t="s">
        <v>133</v>
      </c>
      <c r="H305">
        <v>4</v>
      </c>
      <c r="I305">
        <v>4641</v>
      </c>
      <c r="J305">
        <v>18564</v>
      </c>
    </row>
    <row r="306" spans="1:10" x14ac:dyDescent="0.3">
      <c r="A306">
        <v>1092</v>
      </c>
      <c r="B306" t="s">
        <v>446</v>
      </c>
      <c r="C306" t="str">
        <f>TEXT(Sales[[#This Row],[Order_Date]],"mmm")</f>
        <v>Jan</v>
      </c>
      <c r="D306" t="s">
        <v>173</v>
      </c>
      <c r="E306" t="s">
        <v>42</v>
      </c>
      <c r="F306" t="s">
        <v>17</v>
      </c>
      <c r="G306" t="s">
        <v>72</v>
      </c>
      <c r="H306">
        <v>3</v>
      </c>
      <c r="I306">
        <v>1850</v>
      </c>
      <c r="J306">
        <v>5550</v>
      </c>
    </row>
    <row r="307" spans="1:10" x14ac:dyDescent="0.3">
      <c r="A307">
        <v>1181</v>
      </c>
      <c r="B307" t="s">
        <v>448</v>
      </c>
      <c r="C307" t="str">
        <f>TEXT(Sales[[#This Row],[Order_Date]],"mmm")</f>
        <v>Jun</v>
      </c>
      <c r="D307" t="s">
        <v>148</v>
      </c>
      <c r="E307" t="s">
        <v>25</v>
      </c>
      <c r="F307" t="s">
        <v>83</v>
      </c>
      <c r="G307" t="s">
        <v>93</v>
      </c>
      <c r="H307">
        <v>5</v>
      </c>
      <c r="I307">
        <v>3189</v>
      </c>
      <c r="J307">
        <v>15945</v>
      </c>
    </row>
    <row r="308" spans="1:10" x14ac:dyDescent="0.3">
      <c r="A308">
        <v>1405</v>
      </c>
      <c r="B308" t="s">
        <v>192</v>
      </c>
      <c r="C308" t="str">
        <f>TEXT(Sales[[#This Row],[Order_Date]],"mmm")</f>
        <v>Oct</v>
      </c>
      <c r="D308" t="s">
        <v>449</v>
      </c>
      <c r="E308" t="s">
        <v>11</v>
      </c>
      <c r="F308" t="s">
        <v>89</v>
      </c>
      <c r="G308" t="s">
        <v>95</v>
      </c>
      <c r="H308">
        <v>2</v>
      </c>
      <c r="I308">
        <v>3778</v>
      </c>
      <c r="J308">
        <v>7556</v>
      </c>
    </row>
    <row r="309" spans="1:10" x14ac:dyDescent="0.3">
      <c r="A309">
        <v>1324</v>
      </c>
      <c r="B309" t="s">
        <v>441</v>
      </c>
      <c r="C309" t="str">
        <f>TEXT(Sales[[#This Row],[Order_Date]],"mmm")</f>
        <v>Mar</v>
      </c>
      <c r="D309" t="s">
        <v>381</v>
      </c>
      <c r="E309" t="s">
        <v>11</v>
      </c>
      <c r="F309" t="s">
        <v>89</v>
      </c>
      <c r="G309" t="s">
        <v>13</v>
      </c>
      <c r="H309">
        <v>3</v>
      </c>
      <c r="I309">
        <v>2612</v>
      </c>
      <c r="J309">
        <v>7836</v>
      </c>
    </row>
    <row r="310" spans="1:10" x14ac:dyDescent="0.3">
      <c r="A310">
        <v>1586</v>
      </c>
      <c r="B310" t="s">
        <v>450</v>
      </c>
      <c r="C310" t="str">
        <f>TEXT(Sales[[#This Row],[Order_Date]],"mmm")</f>
        <v>Jul</v>
      </c>
      <c r="D310" t="s">
        <v>126</v>
      </c>
      <c r="E310" t="s">
        <v>16</v>
      </c>
      <c r="F310" t="s">
        <v>83</v>
      </c>
      <c r="G310" t="s">
        <v>93</v>
      </c>
      <c r="H310">
        <v>5</v>
      </c>
      <c r="I310">
        <v>1052</v>
      </c>
      <c r="J310">
        <v>5260</v>
      </c>
    </row>
    <row r="311" spans="1:10" x14ac:dyDescent="0.3">
      <c r="A311">
        <v>1079</v>
      </c>
      <c r="B311" t="s">
        <v>451</v>
      </c>
      <c r="C311" t="str">
        <f>TEXT(Sales[[#This Row],[Order_Date]],"mmm")</f>
        <v>May</v>
      </c>
      <c r="D311" t="s">
        <v>452</v>
      </c>
      <c r="E311" t="s">
        <v>25</v>
      </c>
      <c r="F311" t="s">
        <v>89</v>
      </c>
      <c r="G311" t="s">
        <v>13</v>
      </c>
      <c r="H311">
        <v>4</v>
      </c>
      <c r="I311">
        <v>293</v>
      </c>
      <c r="J311">
        <v>1172</v>
      </c>
    </row>
    <row r="312" spans="1:10" x14ac:dyDescent="0.3">
      <c r="A312">
        <v>1069</v>
      </c>
      <c r="B312" t="s">
        <v>117</v>
      </c>
      <c r="C312" t="str">
        <f>TEXT(Sales[[#This Row],[Order_Date]],"mmm")</f>
        <v>Jun</v>
      </c>
      <c r="D312" t="s">
        <v>453</v>
      </c>
      <c r="E312" t="s">
        <v>11</v>
      </c>
      <c r="F312" t="s">
        <v>83</v>
      </c>
      <c r="G312" t="s">
        <v>32</v>
      </c>
      <c r="H312">
        <v>4</v>
      </c>
      <c r="I312">
        <v>3637</v>
      </c>
      <c r="J312">
        <v>14548</v>
      </c>
    </row>
    <row r="313" spans="1:10" x14ac:dyDescent="0.3">
      <c r="A313">
        <v>1504</v>
      </c>
      <c r="B313" t="s">
        <v>396</v>
      </c>
      <c r="C313" t="str">
        <f>TEXT(Sales[[#This Row],[Order_Date]],"mmm")</f>
        <v>Jul</v>
      </c>
      <c r="D313" t="s">
        <v>400</v>
      </c>
      <c r="E313" t="s">
        <v>16</v>
      </c>
      <c r="F313" t="s">
        <v>136</v>
      </c>
      <c r="G313" t="s">
        <v>124</v>
      </c>
      <c r="H313">
        <v>2</v>
      </c>
      <c r="I313">
        <v>3896</v>
      </c>
      <c r="J313">
        <v>7792</v>
      </c>
    </row>
    <row r="314" spans="1:10" x14ac:dyDescent="0.3">
      <c r="A314">
        <v>1301</v>
      </c>
      <c r="B314" t="s">
        <v>298</v>
      </c>
      <c r="C314" t="str">
        <f>TEXT(Sales[[#This Row],[Order_Date]],"mmm")</f>
        <v>Jan</v>
      </c>
      <c r="D314" t="s">
        <v>372</v>
      </c>
      <c r="E314" t="s">
        <v>25</v>
      </c>
      <c r="F314" t="s">
        <v>89</v>
      </c>
      <c r="G314" t="s">
        <v>27</v>
      </c>
      <c r="H314">
        <v>2</v>
      </c>
      <c r="I314">
        <v>3275</v>
      </c>
      <c r="J314">
        <v>6550</v>
      </c>
    </row>
    <row r="315" spans="1:10" x14ac:dyDescent="0.3">
      <c r="A315">
        <v>1095</v>
      </c>
      <c r="B315" t="s">
        <v>304</v>
      </c>
      <c r="C315" t="str">
        <f>TEXT(Sales[[#This Row],[Order_Date]],"mmm")</f>
        <v>Jun</v>
      </c>
      <c r="D315" t="s">
        <v>189</v>
      </c>
      <c r="E315" t="s">
        <v>11</v>
      </c>
      <c r="F315" t="s">
        <v>136</v>
      </c>
      <c r="G315" t="s">
        <v>124</v>
      </c>
      <c r="H315">
        <v>5</v>
      </c>
      <c r="I315">
        <v>3756</v>
      </c>
      <c r="J315">
        <v>18780</v>
      </c>
    </row>
    <row r="316" spans="1:10" x14ac:dyDescent="0.3">
      <c r="A316">
        <v>1210</v>
      </c>
      <c r="B316" t="s">
        <v>76</v>
      </c>
      <c r="C316" t="str">
        <f>TEXT(Sales[[#This Row],[Order_Date]],"mmm")</f>
        <v>Apr</v>
      </c>
      <c r="D316" t="s">
        <v>85</v>
      </c>
      <c r="E316" t="s">
        <v>16</v>
      </c>
      <c r="F316" t="s">
        <v>89</v>
      </c>
      <c r="G316" t="s">
        <v>95</v>
      </c>
      <c r="H316">
        <v>1</v>
      </c>
      <c r="I316">
        <v>606</v>
      </c>
      <c r="J316">
        <v>606</v>
      </c>
    </row>
    <row r="317" spans="1:10" x14ac:dyDescent="0.3">
      <c r="A317">
        <v>1502</v>
      </c>
      <c r="B317" t="s">
        <v>50</v>
      </c>
      <c r="C317" t="str">
        <f>TEXT(Sales[[#This Row],[Order_Date]],"mmm")</f>
        <v>Mar</v>
      </c>
      <c r="D317" t="s">
        <v>454</v>
      </c>
      <c r="E317" t="s">
        <v>25</v>
      </c>
      <c r="F317" t="s">
        <v>89</v>
      </c>
      <c r="G317" t="s">
        <v>27</v>
      </c>
      <c r="H317">
        <v>3</v>
      </c>
      <c r="I317">
        <v>4134</v>
      </c>
      <c r="J317">
        <v>12402</v>
      </c>
    </row>
    <row r="318" spans="1:10" x14ac:dyDescent="0.3">
      <c r="A318">
        <v>1174</v>
      </c>
      <c r="B318" t="s">
        <v>455</v>
      </c>
      <c r="C318" t="str">
        <f>TEXT(Sales[[#This Row],[Order_Date]],"mmm")</f>
        <v>Nov</v>
      </c>
      <c r="D318" t="s">
        <v>370</v>
      </c>
      <c r="E318" t="s">
        <v>42</v>
      </c>
      <c r="F318" t="s">
        <v>83</v>
      </c>
      <c r="G318" t="s">
        <v>78</v>
      </c>
      <c r="H318">
        <v>4</v>
      </c>
      <c r="I318">
        <v>4057</v>
      </c>
      <c r="J318">
        <v>16228</v>
      </c>
    </row>
    <row r="319" spans="1:10" x14ac:dyDescent="0.3">
      <c r="A319">
        <v>1093</v>
      </c>
      <c r="B319" t="s">
        <v>456</v>
      </c>
      <c r="C319" t="str">
        <f>TEXT(Sales[[#This Row],[Order_Date]],"mmm")</f>
        <v>Nov</v>
      </c>
      <c r="D319" t="s">
        <v>412</v>
      </c>
      <c r="E319" t="s">
        <v>11</v>
      </c>
      <c r="F319" t="s">
        <v>136</v>
      </c>
      <c r="G319" t="s">
        <v>128</v>
      </c>
      <c r="H319">
        <v>3</v>
      </c>
      <c r="I319">
        <v>1728</v>
      </c>
      <c r="J319">
        <v>5184</v>
      </c>
    </row>
    <row r="320" spans="1:10" x14ac:dyDescent="0.3">
      <c r="A320">
        <v>1476</v>
      </c>
      <c r="B320" t="s">
        <v>429</v>
      </c>
      <c r="C320" t="str">
        <f>TEXT(Sales[[#This Row],[Order_Date]],"mmm")</f>
        <v>May</v>
      </c>
      <c r="D320" t="s">
        <v>326</v>
      </c>
      <c r="E320" t="s">
        <v>11</v>
      </c>
      <c r="F320" t="s">
        <v>89</v>
      </c>
      <c r="G320" t="s">
        <v>133</v>
      </c>
      <c r="H320">
        <v>1</v>
      </c>
      <c r="I320">
        <v>902</v>
      </c>
      <c r="J320">
        <v>902</v>
      </c>
    </row>
    <row r="321" spans="1:10" x14ac:dyDescent="0.3">
      <c r="A321">
        <v>1423</v>
      </c>
      <c r="B321" t="s">
        <v>174</v>
      </c>
      <c r="C321" t="str">
        <f>TEXT(Sales[[#This Row],[Order_Date]],"mmm")</f>
        <v>Oct</v>
      </c>
      <c r="D321" t="s">
        <v>457</v>
      </c>
      <c r="E321" t="s">
        <v>16</v>
      </c>
      <c r="F321" t="s">
        <v>83</v>
      </c>
      <c r="G321" t="s">
        <v>78</v>
      </c>
      <c r="H321">
        <v>5</v>
      </c>
      <c r="I321">
        <v>2130</v>
      </c>
      <c r="J321">
        <v>10650</v>
      </c>
    </row>
    <row r="322" spans="1:10" x14ac:dyDescent="0.3">
      <c r="A322">
        <v>1035</v>
      </c>
      <c r="B322" t="s">
        <v>369</v>
      </c>
      <c r="C322" t="str">
        <f>TEXT(Sales[[#This Row],[Order_Date]],"mmm")</f>
        <v>Sep</v>
      </c>
      <c r="D322" t="s">
        <v>414</v>
      </c>
      <c r="E322" t="s">
        <v>11</v>
      </c>
      <c r="F322" t="s">
        <v>17</v>
      </c>
      <c r="G322" t="s">
        <v>72</v>
      </c>
      <c r="H322">
        <v>2</v>
      </c>
      <c r="I322">
        <v>1935</v>
      </c>
      <c r="J322">
        <v>3870</v>
      </c>
    </row>
    <row r="323" spans="1:10" x14ac:dyDescent="0.3">
      <c r="A323">
        <v>1433</v>
      </c>
      <c r="B323" t="s">
        <v>458</v>
      </c>
      <c r="C323" t="str">
        <f>TEXT(Sales[[#This Row],[Order_Date]],"mmm")</f>
        <v>Feb</v>
      </c>
      <c r="D323" t="s">
        <v>351</v>
      </c>
      <c r="E323" t="s">
        <v>42</v>
      </c>
      <c r="F323" t="s">
        <v>136</v>
      </c>
      <c r="G323" t="s">
        <v>128</v>
      </c>
      <c r="H323">
        <v>3</v>
      </c>
      <c r="I323">
        <v>748</v>
      </c>
      <c r="J323">
        <v>2244</v>
      </c>
    </row>
    <row r="324" spans="1:10" x14ac:dyDescent="0.3">
      <c r="A324">
        <v>1565</v>
      </c>
      <c r="B324" t="s">
        <v>459</v>
      </c>
      <c r="C324" t="str">
        <f>TEXT(Sales[[#This Row],[Order_Date]],"mmm")</f>
        <v>Jun</v>
      </c>
      <c r="D324" t="s">
        <v>238</v>
      </c>
      <c r="E324" t="s">
        <v>42</v>
      </c>
      <c r="F324" t="s">
        <v>89</v>
      </c>
      <c r="G324" t="s">
        <v>133</v>
      </c>
      <c r="H324">
        <v>5</v>
      </c>
      <c r="I324">
        <v>4480</v>
      </c>
      <c r="J324">
        <v>22400</v>
      </c>
    </row>
    <row r="325" spans="1:10" x14ac:dyDescent="0.3">
      <c r="A325">
        <v>1153</v>
      </c>
      <c r="B325" t="s">
        <v>343</v>
      </c>
      <c r="C325" t="str">
        <f>TEXT(Sales[[#This Row],[Order_Date]],"mmm")</f>
        <v>Mar</v>
      </c>
      <c r="D325" t="s">
        <v>460</v>
      </c>
      <c r="E325" t="s">
        <v>42</v>
      </c>
      <c r="F325" t="s">
        <v>83</v>
      </c>
      <c r="G325" t="s">
        <v>32</v>
      </c>
      <c r="H325">
        <v>5</v>
      </c>
      <c r="I325">
        <v>3016</v>
      </c>
      <c r="J325">
        <v>15080</v>
      </c>
    </row>
    <row r="326" spans="1:10" x14ac:dyDescent="0.3">
      <c r="A326">
        <v>1497</v>
      </c>
      <c r="B326" t="s">
        <v>297</v>
      </c>
      <c r="C326" t="str">
        <f>TEXT(Sales[[#This Row],[Order_Date]],"mmm")</f>
        <v>Oct</v>
      </c>
      <c r="D326" t="s">
        <v>201</v>
      </c>
      <c r="E326" t="s">
        <v>42</v>
      </c>
      <c r="F326" t="s">
        <v>136</v>
      </c>
      <c r="G326" t="s">
        <v>124</v>
      </c>
      <c r="H326">
        <v>4</v>
      </c>
      <c r="I326">
        <v>1378</v>
      </c>
      <c r="J326">
        <v>5512</v>
      </c>
    </row>
    <row r="327" spans="1:10" x14ac:dyDescent="0.3">
      <c r="A327">
        <v>1411</v>
      </c>
      <c r="B327" t="s">
        <v>120</v>
      </c>
      <c r="C327" t="str">
        <f>TEXT(Sales[[#This Row],[Order_Date]],"mmm")</f>
        <v>Jan</v>
      </c>
      <c r="D327" t="s">
        <v>260</v>
      </c>
      <c r="E327" t="s">
        <v>16</v>
      </c>
      <c r="F327" t="s">
        <v>89</v>
      </c>
      <c r="G327" t="s">
        <v>13</v>
      </c>
      <c r="H327">
        <v>3</v>
      </c>
      <c r="I327">
        <v>3251</v>
      </c>
      <c r="J327">
        <v>9753</v>
      </c>
    </row>
    <row r="328" spans="1:10" x14ac:dyDescent="0.3">
      <c r="A328">
        <v>1310</v>
      </c>
      <c r="B328" t="s">
        <v>461</v>
      </c>
      <c r="C328" t="str">
        <f>TEXT(Sales[[#This Row],[Order_Date]],"mmm")</f>
        <v>Jun</v>
      </c>
      <c r="D328" t="s">
        <v>436</v>
      </c>
      <c r="E328" t="s">
        <v>11</v>
      </c>
      <c r="F328" t="s">
        <v>136</v>
      </c>
      <c r="G328" t="s">
        <v>124</v>
      </c>
      <c r="H328">
        <v>3</v>
      </c>
      <c r="I328">
        <v>3829</v>
      </c>
      <c r="J328">
        <v>11487</v>
      </c>
    </row>
    <row r="329" spans="1:10" x14ac:dyDescent="0.3">
      <c r="A329">
        <v>1426</v>
      </c>
      <c r="B329" t="s">
        <v>104</v>
      </c>
      <c r="C329" t="str">
        <f>TEXT(Sales[[#This Row],[Order_Date]],"mmm")</f>
        <v>Nov</v>
      </c>
      <c r="D329" t="s">
        <v>273</v>
      </c>
      <c r="E329" t="s">
        <v>16</v>
      </c>
      <c r="F329" t="s">
        <v>83</v>
      </c>
      <c r="G329" t="s">
        <v>93</v>
      </c>
      <c r="H329">
        <v>4</v>
      </c>
      <c r="I329">
        <v>4168</v>
      </c>
      <c r="J329">
        <v>16672</v>
      </c>
    </row>
    <row r="330" spans="1:10" x14ac:dyDescent="0.3">
      <c r="A330">
        <v>1057</v>
      </c>
      <c r="B330" t="s">
        <v>73</v>
      </c>
      <c r="C330" t="str">
        <f>TEXT(Sales[[#This Row],[Order_Date]],"mmm")</f>
        <v>Sep</v>
      </c>
      <c r="D330" t="s">
        <v>420</v>
      </c>
      <c r="E330" t="s">
        <v>11</v>
      </c>
      <c r="F330" t="s">
        <v>17</v>
      </c>
      <c r="G330" t="s">
        <v>72</v>
      </c>
      <c r="H330">
        <v>2</v>
      </c>
      <c r="I330">
        <v>4494</v>
      </c>
      <c r="J330">
        <v>8988</v>
      </c>
    </row>
    <row r="331" spans="1:10" x14ac:dyDescent="0.3">
      <c r="A331">
        <v>1197</v>
      </c>
      <c r="B331" t="s">
        <v>462</v>
      </c>
      <c r="C331" t="str">
        <f>TEXT(Sales[[#This Row],[Order_Date]],"mmm")</f>
        <v>Apr</v>
      </c>
      <c r="D331" t="s">
        <v>463</v>
      </c>
      <c r="E331" t="s">
        <v>16</v>
      </c>
      <c r="F331" t="s">
        <v>83</v>
      </c>
      <c r="G331" t="s">
        <v>93</v>
      </c>
      <c r="H331">
        <v>1</v>
      </c>
      <c r="I331">
        <v>3152</v>
      </c>
      <c r="J331">
        <v>3152</v>
      </c>
    </row>
    <row r="332" spans="1:10" x14ac:dyDescent="0.3">
      <c r="A332">
        <v>1475</v>
      </c>
      <c r="B332" t="s">
        <v>437</v>
      </c>
      <c r="C332" t="str">
        <f>TEXT(Sales[[#This Row],[Order_Date]],"mmm")</f>
        <v>Sep</v>
      </c>
      <c r="D332" t="s">
        <v>260</v>
      </c>
      <c r="E332" t="s">
        <v>25</v>
      </c>
      <c r="F332" t="s">
        <v>83</v>
      </c>
      <c r="G332" t="s">
        <v>32</v>
      </c>
      <c r="H332">
        <v>4</v>
      </c>
      <c r="I332">
        <v>3854</v>
      </c>
      <c r="J332">
        <v>15416</v>
      </c>
    </row>
    <row r="333" spans="1:10" x14ac:dyDescent="0.3">
      <c r="A333">
        <v>1600</v>
      </c>
      <c r="B333" t="s">
        <v>464</v>
      </c>
      <c r="C333" t="str">
        <f>TEXT(Sales[[#This Row],[Order_Date]],"mmm")</f>
        <v>Oct</v>
      </c>
      <c r="D333" t="s">
        <v>400</v>
      </c>
      <c r="E333" t="s">
        <v>25</v>
      </c>
      <c r="F333" t="s">
        <v>89</v>
      </c>
      <c r="G333" t="s">
        <v>13</v>
      </c>
      <c r="H333">
        <v>3</v>
      </c>
      <c r="I333">
        <v>424</v>
      </c>
      <c r="J333">
        <v>1272</v>
      </c>
    </row>
    <row r="334" spans="1:10" x14ac:dyDescent="0.3">
      <c r="A334">
        <v>1585</v>
      </c>
      <c r="B334" t="s">
        <v>416</v>
      </c>
      <c r="C334" t="str">
        <f>TEXT(Sales[[#This Row],[Order_Date]],"mmm")</f>
        <v>Apr</v>
      </c>
      <c r="D334" t="s">
        <v>238</v>
      </c>
      <c r="E334" t="s">
        <v>42</v>
      </c>
      <c r="F334" t="s">
        <v>17</v>
      </c>
      <c r="G334" t="s">
        <v>114</v>
      </c>
      <c r="H334">
        <v>4</v>
      </c>
      <c r="I334">
        <v>4404</v>
      </c>
      <c r="J334">
        <v>17616</v>
      </c>
    </row>
    <row r="335" spans="1:10" x14ac:dyDescent="0.3">
      <c r="A335">
        <v>1009</v>
      </c>
      <c r="B335" t="s">
        <v>465</v>
      </c>
      <c r="C335" t="str">
        <f>TEXT(Sales[[#This Row],[Order_Date]],"mmm")</f>
        <v>Aug</v>
      </c>
      <c r="D335" t="s">
        <v>228</v>
      </c>
      <c r="E335" t="s">
        <v>16</v>
      </c>
      <c r="F335" t="s">
        <v>17</v>
      </c>
      <c r="G335" t="s">
        <v>114</v>
      </c>
      <c r="H335">
        <v>3</v>
      </c>
      <c r="I335">
        <v>2702</v>
      </c>
      <c r="J335">
        <v>8106</v>
      </c>
    </row>
    <row r="336" spans="1:10" x14ac:dyDescent="0.3">
      <c r="A336">
        <v>1281</v>
      </c>
      <c r="B336" t="s">
        <v>466</v>
      </c>
      <c r="C336" t="str">
        <f>TEXT(Sales[[#This Row],[Order_Date]],"mmm")</f>
        <v>Aug</v>
      </c>
      <c r="D336" t="s">
        <v>388</v>
      </c>
      <c r="E336" t="s">
        <v>42</v>
      </c>
      <c r="F336" t="s">
        <v>136</v>
      </c>
      <c r="G336" t="s">
        <v>22</v>
      </c>
      <c r="H336">
        <v>2</v>
      </c>
      <c r="I336">
        <v>4023</v>
      </c>
      <c r="J336">
        <v>8046</v>
      </c>
    </row>
    <row r="337" spans="1:10" x14ac:dyDescent="0.3">
      <c r="A337">
        <v>1406</v>
      </c>
      <c r="B337" t="s">
        <v>47</v>
      </c>
      <c r="C337" t="str">
        <f>TEXT(Sales[[#This Row],[Order_Date]],"mmm")</f>
        <v>Oct</v>
      </c>
      <c r="D337" t="s">
        <v>267</v>
      </c>
      <c r="E337" t="s">
        <v>42</v>
      </c>
      <c r="F337" t="s">
        <v>83</v>
      </c>
      <c r="G337" t="s">
        <v>57</v>
      </c>
      <c r="H337">
        <v>3</v>
      </c>
      <c r="I337">
        <v>1085</v>
      </c>
      <c r="J337">
        <v>3255</v>
      </c>
    </row>
    <row r="338" spans="1:10" x14ac:dyDescent="0.3">
      <c r="A338">
        <v>1283</v>
      </c>
      <c r="B338" t="s">
        <v>467</v>
      </c>
      <c r="C338" t="str">
        <f>TEXT(Sales[[#This Row],[Order_Date]],"mmm")</f>
        <v>Nov</v>
      </c>
      <c r="D338" t="s">
        <v>226</v>
      </c>
      <c r="E338" t="s">
        <v>16</v>
      </c>
      <c r="F338" t="s">
        <v>89</v>
      </c>
      <c r="G338" t="s">
        <v>95</v>
      </c>
      <c r="H338">
        <v>2</v>
      </c>
      <c r="I338">
        <v>4437</v>
      </c>
      <c r="J338">
        <v>8874</v>
      </c>
    </row>
    <row r="339" spans="1:10" x14ac:dyDescent="0.3">
      <c r="A339">
        <v>1413</v>
      </c>
      <c r="B339" t="s">
        <v>468</v>
      </c>
      <c r="C339" t="str">
        <f>TEXT(Sales[[#This Row],[Order_Date]],"mmm")</f>
        <v>Dec</v>
      </c>
      <c r="D339" t="s">
        <v>372</v>
      </c>
      <c r="E339" t="s">
        <v>42</v>
      </c>
      <c r="F339" t="s">
        <v>17</v>
      </c>
      <c r="G339" t="s">
        <v>72</v>
      </c>
      <c r="H339">
        <v>3</v>
      </c>
      <c r="I339">
        <v>3628</v>
      </c>
      <c r="J339">
        <v>10884</v>
      </c>
    </row>
    <row r="340" spans="1:10" x14ac:dyDescent="0.3">
      <c r="A340">
        <v>1597</v>
      </c>
      <c r="B340" t="s">
        <v>469</v>
      </c>
      <c r="C340" t="str">
        <f>TEXT(Sales[[#This Row],[Order_Date]],"mmm")</f>
        <v>Dec</v>
      </c>
      <c r="D340" t="s">
        <v>414</v>
      </c>
      <c r="E340" t="s">
        <v>16</v>
      </c>
      <c r="F340" t="s">
        <v>17</v>
      </c>
      <c r="G340" t="s">
        <v>101</v>
      </c>
      <c r="H340">
        <v>3</v>
      </c>
      <c r="I340">
        <v>4355</v>
      </c>
      <c r="J340">
        <v>13065</v>
      </c>
    </row>
    <row r="341" spans="1:10" x14ac:dyDescent="0.3">
      <c r="A341">
        <v>1571</v>
      </c>
      <c r="B341" t="s">
        <v>470</v>
      </c>
      <c r="C341" t="str">
        <f>TEXT(Sales[[#This Row],[Order_Date]],"mmm")</f>
        <v>Apr</v>
      </c>
      <c r="D341" t="s">
        <v>282</v>
      </c>
      <c r="E341" t="s">
        <v>42</v>
      </c>
      <c r="F341" t="s">
        <v>83</v>
      </c>
      <c r="G341" t="s">
        <v>78</v>
      </c>
      <c r="H341">
        <v>5</v>
      </c>
      <c r="I341">
        <v>1699</v>
      </c>
      <c r="J341">
        <v>8495</v>
      </c>
    </row>
    <row r="342" spans="1:10" x14ac:dyDescent="0.3">
      <c r="A342">
        <v>1091</v>
      </c>
      <c r="B342" t="s">
        <v>264</v>
      </c>
      <c r="C342" t="str">
        <f>TEXT(Sales[[#This Row],[Order_Date]],"mmm")</f>
        <v>Apr</v>
      </c>
      <c r="D342" t="s">
        <v>167</v>
      </c>
      <c r="E342" t="s">
        <v>25</v>
      </c>
      <c r="F342" t="s">
        <v>17</v>
      </c>
      <c r="G342" t="s">
        <v>101</v>
      </c>
      <c r="H342">
        <v>3</v>
      </c>
      <c r="I342">
        <v>2334</v>
      </c>
      <c r="J342">
        <v>7002</v>
      </c>
    </row>
    <row r="343" spans="1:10" x14ac:dyDescent="0.3">
      <c r="A343">
        <v>1120</v>
      </c>
      <c r="B343" t="s">
        <v>213</v>
      </c>
      <c r="C343" t="str">
        <f>TEXT(Sales[[#This Row],[Order_Date]],"mmm")</f>
        <v>Aug</v>
      </c>
      <c r="D343" t="s">
        <v>454</v>
      </c>
      <c r="E343" t="s">
        <v>25</v>
      </c>
      <c r="F343" t="s">
        <v>83</v>
      </c>
      <c r="G343" t="s">
        <v>78</v>
      </c>
      <c r="H343">
        <v>4</v>
      </c>
      <c r="I343">
        <v>4540</v>
      </c>
      <c r="J343">
        <v>18160</v>
      </c>
    </row>
    <row r="344" spans="1:10" x14ac:dyDescent="0.3">
      <c r="A344">
        <v>1154</v>
      </c>
      <c r="B344" t="s">
        <v>419</v>
      </c>
      <c r="C344" t="str">
        <f>TEXT(Sales[[#This Row],[Order_Date]],"mmm")</f>
        <v>Mar</v>
      </c>
      <c r="D344" t="s">
        <v>432</v>
      </c>
      <c r="E344" t="s">
        <v>11</v>
      </c>
      <c r="F344" t="s">
        <v>89</v>
      </c>
      <c r="G344" t="s">
        <v>75</v>
      </c>
      <c r="H344">
        <v>3</v>
      </c>
      <c r="I344">
        <v>1677</v>
      </c>
      <c r="J344">
        <v>5031</v>
      </c>
    </row>
    <row r="345" spans="1:10" x14ac:dyDescent="0.3">
      <c r="A345">
        <v>1181</v>
      </c>
      <c r="B345" t="s">
        <v>344</v>
      </c>
      <c r="C345" t="str">
        <f>TEXT(Sales[[#This Row],[Order_Date]],"mmm")</f>
        <v>Jun</v>
      </c>
      <c r="D345" t="s">
        <v>38</v>
      </c>
      <c r="E345" t="s">
        <v>42</v>
      </c>
      <c r="F345" t="s">
        <v>83</v>
      </c>
      <c r="G345" t="s">
        <v>32</v>
      </c>
      <c r="H345">
        <v>2</v>
      </c>
      <c r="I345">
        <v>1581</v>
      </c>
      <c r="J345">
        <v>3162</v>
      </c>
    </row>
    <row r="346" spans="1:10" x14ac:dyDescent="0.3">
      <c r="A346">
        <v>1090</v>
      </c>
      <c r="B346" t="s">
        <v>279</v>
      </c>
      <c r="C346" t="str">
        <f>TEXT(Sales[[#This Row],[Order_Date]],"mmm")</f>
        <v>Mar</v>
      </c>
      <c r="D346" t="s">
        <v>350</v>
      </c>
      <c r="E346" t="s">
        <v>11</v>
      </c>
      <c r="F346" t="s">
        <v>136</v>
      </c>
      <c r="G346" t="s">
        <v>657</v>
      </c>
      <c r="H346">
        <v>4</v>
      </c>
      <c r="I346">
        <v>3340</v>
      </c>
      <c r="J346">
        <v>13360</v>
      </c>
    </row>
    <row r="347" spans="1:10" x14ac:dyDescent="0.3">
      <c r="A347">
        <v>1382</v>
      </c>
      <c r="B347" t="s">
        <v>471</v>
      </c>
      <c r="C347" t="str">
        <f>TEXT(Sales[[#This Row],[Order_Date]],"mmm")</f>
        <v>Jan</v>
      </c>
      <c r="D347" t="s">
        <v>363</v>
      </c>
      <c r="E347" t="s">
        <v>42</v>
      </c>
      <c r="F347" t="s">
        <v>89</v>
      </c>
      <c r="G347" t="s">
        <v>133</v>
      </c>
      <c r="H347">
        <v>1</v>
      </c>
      <c r="I347">
        <v>2238</v>
      </c>
      <c r="J347">
        <v>2238</v>
      </c>
    </row>
    <row r="348" spans="1:10" x14ac:dyDescent="0.3">
      <c r="A348">
        <v>1319</v>
      </c>
      <c r="B348" t="s">
        <v>279</v>
      </c>
      <c r="C348" t="str">
        <f>TEXT(Sales[[#This Row],[Order_Date]],"mmm")</f>
        <v>Mar</v>
      </c>
      <c r="D348" t="s">
        <v>267</v>
      </c>
      <c r="E348" t="s">
        <v>11</v>
      </c>
      <c r="F348" t="s">
        <v>136</v>
      </c>
      <c r="G348" t="s">
        <v>67</v>
      </c>
      <c r="H348">
        <v>1</v>
      </c>
      <c r="I348">
        <v>574</v>
      </c>
      <c r="J348">
        <v>574</v>
      </c>
    </row>
    <row r="349" spans="1:10" x14ac:dyDescent="0.3">
      <c r="A349">
        <v>1532</v>
      </c>
      <c r="B349" t="s">
        <v>341</v>
      </c>
      <c r="C349" t="str">
        <f>TEXT(Sales[[#This Row],[Order_Date]],"mmm")</f>
        <v>Nov</v>
      </c>
      <c r="D349" t="s">
        <v>472</v>
      </c>
      <c r="E349" t="s">
        <v>25</v>
      </c>
      <c r="F349" t="s">
        <v>89</v>
      </c>
      <c r="G349" t="s">
        <v>75</v>
      </c>
      <c r="H349">
        <v>4</v>
      </c>
      <c r="I349">
        <v>3142</v>
      </c>
      <c r="J349">
        <v>12568</v>
      </c>
    </row>
    <row r="350" spans="1:10" x14ac:dyDescent="0.3">
      <c r="A350">
        <v>1413</v>
      </c>
      <c r="B350" t="s">
        <v>473</v>
      </c>
      <c r="C350" t="str">
        <f>TEXT(Sales[[#This Row],[Order_Date]],"mmm")</f>
        <v>Jan</v>
      </c>
      <c r="D350" t="s">
        <v>457</v>
      </c>
      <c r="E350" t="s">
        <v>42</v>
      </c>
      <c r="F350" t="s">
        <v>17</v>
      </c>
      <c r="G350" t="s">
        <v>114</v>
      </c>
      <c r="H350">
        <v>5</v>
      </c>
      <c r="I350">
        <v>4333</v>
      </c>
      <c r="J350">
        <v>21665</v>
      </c>
    </row>
    <row r="351" spans="1:10" x14ac:dyDescent="0.3">
      <c r="A351">
        <v>1038</v>
      </c>
      <c r="B351" t="s">
        <v>474</v>
      </c>
      <c r="C351" t="str">
        <f>TEXT(Sales[[#This Row],[Order_Date]],"mmm")</f>
        <v>Jul</v>
      </c>
      <c r="D351" t="s">
        <v>324</v>
      </c>
      <c r="E351" t="s">
        <v>42</v>
      </c>
      <c r="F351" t="s">
        <v>89</v>
      </c>
      <c r="G351" t="s">
        <v>133</v>
      </c>
      <c r="H351">
        <v>1</v>
      </c>
      <c r="I351">
        <v>361</v>
      </c>
      <c r="J351">
        <v>361</v>
      </c>
    </row>
    <row r="352" spans="1:10" x14ac:dyDescent="0.3">
      <c r="A352">
        <v>1454</v>
      </c>
      <c r="B352" t="s">
        <v>475</v>
      </c>
      <c r="C352" t="str">
        <f>TEXT(Sales[[#This Row],[Order_Date]],"mmm")</f>
        <v>Jul</v>
      </c>
      <c r="D352" t="s">
        <v>348</v>
      </c>
      <c r="E352" t="s">
        <v>16</v>
      </c>
      <c r="F352" t="s">
        <v>89</v>
      </c>
      <c r="G352" t="s">
        <v>75</v>
      </c>
      <c r="H352">
        <v>1</v>
      </c>
      <c r="I352">
        <v>2666</v>
      </c>
      <c r="J352">
        <v>2666</v>
      </c>
    </row>
    <row r="353" spans="1:10" x14ac:dyDescent="0.3">
      <c r="A353">
        <v>1532</v>
      </c>
      <c r="B353" t="s">
        <v>476</v>
      </c>
      <c r="C353" t="str">
        <f>TEXT(Sales[[#This Row],[Order_Date]],"mmm")</f>
        <v>May</v>
      </c>
      <c r="D353" t="s">
        <v>477</v>
      </c>
      <c r="E353" t="s">
        <v>25</v>
      </c>
      <c r="F353" t="s">
        <v>17</v>
      </c>
      <c r="G353" t="s">
        <v>53</v>
      </c>
      <c r="H353">
        <v>3</v>
      </c>
      <c r="I353">
        <v>1133</v>
      </c>
      <c r="J353">
        <v>3399</v>
      </c>
    </row>
    <row r="354" spans="1:10" x14ac:dyDescent="0.3">
      <c r="A354">
        <v>1204</v>
      </c>
      <c r="B354" t="s">
        <v>429</v>
      </c>
      <c r="C354" t="str">
        <f>TEXT(Sales[[#This Row],[Order_Date]],"mmm")</f>
        <v>May</v>
      </c>
      <c r="D354" t="s">
        <v>293</v>
      </c>
      <c r="E354" t="s">
        <v>42</v>
      </c>
      <c r="F354" t="s">
        <v>17</v>
      </c>
      <c r="G354" t="s">
        <v>101</v>
      </c>
      <c r="H354">
        <v>2</v>
      </c>
      <c r="I354">
        <v>522</v>
      </c>
      <c r="J354">
        <v>1044</v>
      </c>
    </row>
    <row r="355" spans="1:10" x14ac:dyDescent="0.3">
      <c r="A355">
        <v>1492</v>
      </c>
      <c r="B355" t="s">
        <v>478</v>
      </c>
      <c r="C355" t="str">
        <f>TEXT(Sales[[#This Row],[Order_Date]],"mmm")</f>
        <v>Jun</v>
      </c>
      <c r="D355" t="s">
        <v>74</v>
      </c>
      <c r="E355" t="s">
        <v>25</v>
      </c>
      <c r="F355" t="s">
        <v>83</v>
      </c>
      <c r="G355" t="s">
        <v>32</v>
      </c>
      <c r="H355">
        <v>5</v>
      </c>
      <c r="I355">
        <v>4247</v>
      </c>
      <c r="J355">
        <v>21235</v>
      </c>
    </row>
    <row r="356" spans="1:10" x14ac:dyDescent="0.3">
      <c r="A356">
        <v>1523</v>
      </c>
      <c r="B356" t="s">
        <v>108</v>
      </c>
      <c r="C356" t="str">
        <f>TEXT(Sales[[#This Row],[Order_Date]],"mmm")</f>
        <v>Feb</v>
      </c>
      <c r="D356" t="s">
        <v>278</v>
      </c>
      <c r="E356" t="s">
        <v>16</v>
      </c>
      <c r="F356" t="s">
        <v>83</v>
      </c>
      <c r="G356" t="s">
        <v>112</v>
      </c>
      <c r="H356">
        <v>3</v>
      </c>
      <c r="I356">
        <v>2363</v>
      </c>
      <c r="J356">
        <v>7089</v>
      </c>
    </row>
    <row r="357" spans="1:10" x14ac:dyDescent="0.3">
      <c r="A357">
        <v>1178</v>
      </c>
      <c r="B357" t="s">
        <v>425</v>
      </c>
      <c r="C357" t="str">
        <f>TEXT(Sales[[#This Row],[Order_Date]],"mmm")</f>
        <v>Jan</v>
      </c>
      <c r="D357" t="s">
        <v>150</v>
      </c>
      <c r="E357" t="s">
        <v>11</v>
      </c>
      <c r="F357" t="s">
        <v>89</v>
      </c>
      <c r="G357" t="s">
        <v>95</v>
      </c>
      <c r="H357">
        <v>1</v>
      </c>
      <c r="I357">
        <v>978</v>
      </c>
      <c r="J357">
        <v>978</v>
      </c>
    </row>
    <row r="358" spans="1:10" x14ac:dyDescent="0.3">
      <c r="A358">
        <v>1009</v>
      </c>
      <c r="B358" t="s">
        <v>419</v>
      </c>
      <c r="C358" t="str">
        <f>TEXT(Sales[[#This Row],[Order_Date]],"mmm")</f>
        <v>Mar</v>
      </c>
      <c r="D358" t="s">
        <v>171</v>
      </c>
      <c r="E358" t="s">
        <v>16</v>
      </c>
      <c r="F358" t="s">
        <v>17</v>
      </c>
      <c r="G358" t="s">
        <v>101</v>
      </c>
      <c r="H358">
        <v>5</v>
      </c>
      <c r="I358">
        <v>2397</v>
      </c>
      <c r="J358">
        <v>11985</v>
      </c>
    </row>
    <row r="359" spans="1:10" x14ac:dyDescent="0.3">
      <c r="A359">
        <v>1350</v>
      </c>
      <c r="B359" t="s">
        <v>479</v>
      </c>
      <c r="C359" t="str">
        <f>TEXT(Sales[[#This Row],[Order_Date]],"mmm")</f>
        <v>Apr</v>
      </c>
      <c r="D359" t="s">
        <v>157</v>
      </c>
      <c r="E359" t="s">
        <v>42</v>
      </c>
      <c r="F359" t="s">
        <v>136</v>
      </c>
      <c r="G359" t="s">
        <v>46</v>
      </c>
      <c r="H359">
        <v>4</v>
      </c>
      <c r="I359">
        <v>4117</v>
      </c>
      <c r="J359">
        <v>16468</v>
      </c>
    </row>
    <row r="360" spans="1:10" x14ac:dyDescent="0.3">
      <c r="A360">
        <v>1170</v>
      </c>
      <c r="B360" t="s">
        <v>480</v>
      </c>
      <c r="C360" t="str">
        <f>TEXT(Sales[[#This Row],[Order_Date]],"mmm")</f>
        <v>Feb</v>
      </c>
      <c r="D360" t="s">
        <v>418</v>
      </c>
      <c r="E360" t="s">
        <v>11</v>
      </c>
      <c r="F360" t="s">
        <v>83</v>
      </c>
      <c r="G360" t="s">
        <v>93</v>
      </c>
      <c r="H360">
        <v>5</v>
      </c>
      <c r="I360">
        <v>4154</v>
      </c>
      <c r="J360">
        <v>20770</v>
      </c>
    </row>
    <row r="361" spans="1:10" x14ac:dyDescent="0.3">
      <c r="A361">
        <v>1185</v>
      </c>
      <c r="B361" t="s">
        <v>403</v>
      </c>
      <c r="C361" t="str">
        <f>TEXT(Sales[[#This Row],[Order_Date]],"mmm")</f>
        <v>Nov</v>
      </c>
      <c r="D361" t="s">
        <v>182</v>
      </c>
      <c r="E361" t="s">
        <v>11</v>
      </c>
      <c r="F361" t="s">
        <v>89</v>
      </c>
      <c r="G361" t="s">
        <v>133</v>
      </c>
      <c r="H361">
        <v>4</v>
      </c>
      <c r="I361">
        <v>4198</v>
      </c>
      <c r="J361">
        <v>16792</v>
      </c>
    </row>
    <row r="362" spans="1:10" x14ac:dyDescent="0.3">
      <c r="A362">
        <v>1047</v>
      </c>
      <c r="B362" t="s">
        <v>295</v>
      </c>
      <c r="C362" t="str">
        <f>TEXT(Sales[[#This Row],[Order_Date]],"mmm")</f>
        <v>Feb</v>
      </c>
      <c r="D362" t="s">
        <v>481</v>
      </c>
      <c r="E362" t="s">
        <v>25</v>
      </c>
      <c r="F362" t="s">
        <v>89</v>
      </c>
      <c r="G362" t="s">
        <v>27</v>
      </c>
      <c r="H362">
        <v>5</v>
      </c>
      <c r="I362">
        <v>4485</v>
      </c>
      <c r="J362">
        <v>22425</v>
      </c>
    </row>
    <row r="363" spans="1:10" x14ac:dyDescent="0.3">
      <c r="A363">
        <v>1443</v>
      </c>
      <c r="B363" t="s">
        <v>468</v>
      </c>
      <c r="C363" t="str">
        <f>TEXT(Sales[[#This Row],[Order_Date]],"mmm")</f>
        <v>Dec</v>
      </c>
      <c r="D363" t="s">
        <v>482</v>
      </c>
      <c r="E363" t="s">
        <v>11</v>
      </c>
      <c r="F363" t="s">
        <v>17</v>
      </c>
      <c r="G363" t="s">
        <v>53</v>
      </c>
      <c r="H363">
        <v>2</v>
      </c>
      <c r="I363">
        <v>4773</v>
      </c>
      <c r="J363">
        <v>9546</v>
      </c>
    </row>
    <row r="364" spans="1:10" x14ac:dyDescent="0.3">
      <c r="A364">
        <v>1011</v>
      </c>
      <c r="B364" t="s">
        <v>483</v>
      </c>
      <c r="C364" t="str">
        <f>TEXT(Sales[[#This Row],[Order_Date]],"mmm")</f>
        <v>Nov</v>
      </c>
      <c r="D364" t="s">
        <v>484</v>
      </c>
      <c r="E364" t="s">
        <v>16</v>
      </c>
      <c r="F364" t="s">
        <v>17</v>
      </c>
      <c r="G364" t="s">
        <v>18</v>
      </c>
      <c r="H364">
        <v>2</v>
      </c>
      <c r="I364">
        <v>813</v>
      </c>
      <c r="J364">
        <v>1626</v>
      </c>
    </row>
    <row r="365" spans="1:10" x14ac:dyDescent="0.3">
      <c r="A365">
        <v>1338</v>
      </c>
      <c r="B365" t="s">
        <v>165</v>
      </c>
      <c r="C365" t="str">
        <f>TEXT(Sales[[#This Row],[Order_Date]],"mmm")</f>
        <v>May</v>
      </c>
      <c r="D365" t="s">
        <v>485</v>
      </c>
      <c r="E365" t="s">
        <v>11</v>
      </c>
      <c r="F365" t="s">
        <v>17</v>
      </c>
      <c r="G365" t="s">
        <v>18</v>
      </c>
      <c r="H365">
        <v>2</v>
      </c>
      <c r="I365">
        <v>845</v>
      </c>
      <c r="J365">
        <v>1690</v>
      </c>
    </row>
    <row r="366" spans="1:10" x14ac:dyDescent="0.3">
      <c r="A366">
        <v>1458</v>
      </c>
      <c r="B366" t="s">
        <v>486</v>
      </c>
      <c r="C366" t="str">
        <f>TEXT(Sales[[#This Row],[Order_Date]],"mmm")</f>
        <v>Feb</v>
      </c>
      <c r="D366" t="s">
        <v>238</v>
      </c>
      <c r="E366" t="s">
        <v>25</v>
      </c>
      <c r="F366" t="s">
        <v>136</v>
      </c>
      <c r="G366" t="s">
        <v>46</v>
      </c>
      <c r="H366">
        <v>4</v>
      </c>
      <c r="I366">
        <v>345</v>
      </c>
      <c r="J366">
        <v>1380</v>
      </c>
    </row>
    <row r="367" spans="1:10" x14ac:dyDescent="0.3">
      <c r="A367">
        <v>1570</v>
      </c>
      <c r="B367" t="s">
        <v>379</v>
      </c>
      <c r="C367" t="str">
        <f>TEXT(Sales[[#This Row],[Order_Date]],"mmm")</f>
        <v>Oct</v>
      </c>
      <c r="D367" t="s">
        <v>107</v>
      </c>
      <c r="E367" t="s">
        <v>16</v>
      </c>
      <c r="F367" t="s">
        <v>83</v>
      </c>
      <c r="G367" t="s">
        <v>57</v>
      </c>
      <c r="H367">
        <v>4</v>
      </c>
      <c r="I367">
        <v>2992</v>
      </c>
      <c r="J367">
        <v>11968</v>
      </c>
    </row>
    <row r="368" spans="1:10" x14ac:dyDescent="0.3">
      <c r="A368">
        <v>1228</v>
      </c>
      <c r="B368" t="s">
        <v>86</v>
      </c>
      <c r="C368" t="str">
        <f>TEXT(Sales[[#This Row],[Order_Date]],"mmm")</f>
        <v>Aug</v>
      </c>
      <c r="D368" t="s">
        <v>249</v>
      </c>
      <c r="E368" t="s">
        <v>25</v>
      </c>
      <c r="F368" t="s">
        <v>136</v>
      </c>
      <c r="G368" t="s">
        <v>657</v>
      </c>
      <c r="H368">
        <v>1</v>
      </c>
      <c r="I368">
        <v>2016</v>
      </c>
      <c r="J368">
        <v>2016</v>
      </c>
    </row>
    <row r="369" spans="1:10" x14ac:dyDescent="0.3">
      <c r="A369">
        <v>1298</v>
      </c>
      <c r="B369" t="s">
        <v>487</v>
      </c>
      <c r="C369" t="str">
        <f>TEXT(Sales[[#This Row],[Order_Date]],"mmm")</f>
        <v>Oct</v>
      </c>
      <c r="D369" t="s">
        <v>488</v>
      </c>
      <c r="E369" t="s">
        <v>11</v>
      </c>
      <c r="F369" t="s">
        <v>89</v>
      </c>
      <c r="G369" t="s">
        <v>27</v>
      </c>
      <c r="H369">
        <v>4</v>
      </c>
      <c r="I369">
        <v>1350</v>
      </c>
      <c r="J369">
        <v>5400</v>
      </c>
    </row>
    <row r="370" spans="1:10" x14ac:dyDescent="0.3">
      <c r="A370">
        <v>1419</v>
      </c>
      <c r="B370" t="s">
        <v>489</v>
      </c>
      <c r="C370" t="str">
        <f>TEXT(Sales[[#This Row],[Order_Date]],"mmm")</f>
        <v>Feb</v>
      </c>
      <c r="D370" t="s">
        <v>453</v>
      </c>
      <c r="E370" t="s">
        <v>11</v>
      </c>
      <c r="F370" t="s">
        <v>17</v>
      </c>
      <c r="G370" t="s">
        <v>114</v>
      </c>
      <c r="H370">
        <v>2</v>
      </c>
      <c r="I370">
        <v>3944</v>
      </c>
      <c r="J370">
        <v>7888</v>
      </c>
    </row>
    <row r="371" spans="1:10" x14ac:dyDescent="0.3">
      <c r="A371">
        <v>1346</v>
      </c>
      <c r="B371" t="s">
        <v>158</v>
      </c>
      <c r="C371" t="str">
        <f>TEXT(Sales[[#This Row],[Order_Date]],"mmm")</f>
        <v>Feb</v>
      </c>
      <c r="D371" t="s">
        <v>224</v>
      </c>
      <c r="E371" t="s">
        <v>16</v>
      </c>
      <c r="F371" t="s">
        <v>136</v>
      </c>
      <c r="G371" t="s">
        <v>124</v>
      </c>
      <c r="H371">
        <v>4</v>
      </c>
      <c r="I371">
        <v>4330</v>
      </c>
      <c r="J371">
        <v>17320</v>
      </c>
    </row>
    <row r="372" spans="1:10" x14ac:dyDescent="0.3">
      <c r="A372">
        <v>1543</v>
      </c>
      <c r="B372" t="s">
        <v>303</v>
      </c>
      <c r="C372" t="str">
        <f>TEXT(Sales[[#This Row],[Order_Date]],"mmm")</f>
        <v>Jan</v>
      </c>
      <c r="D372" t="s">
        <v>378</v>
      </c>
      <c r="E372" t="s">
        <v>11</v>
      </c>
      <c r="F372" t="s">
        <v>136</v>
      </c>
      <c r="G372" t="s">
        <v>67</v>
      </c>
      <c r="H372">
        <v>5</v>
      </c>
      <c r="I372">
        <v>1622</v>
      </c>
      <c r="J372">
        <v>8110</v>
      </c>
    </row>
    <row r="373" spans="1:10" x14ac:dyDescent="0.3">
      <c r="A373">
        <v>1396</v>
      </c>
      <c r="B373" t="s">
        <v>299</v>
      </c>
      <c r="C373" t="str">
        <f>TEXT(Sales[[#This Row],[Order_Date]],"mmm")</f>
        <v>Dec</v>
      </c>
      <c r="D373" t="s">
        <v>256</v>
      </c>
      <c r="E373" t="s">
        <v>11</v>
      </c>
      <c r="F373" t="s">
        <v>89</v>
      </c>
      <c r="G373" t="s">
        <v>133</v>
      </c>
      <c r="H373">
        <v>5</v>
      </c>
      <c r="I373">
        <v>2233</v>
      </c>
      <c r="J373">
        <v>11165</v>
      </c>
    </row>
    <row r="374" spans="1:10" x14ac:dyDescent="0.3">
      <c r="A374">
        <v>1301</v>
      </c>
      <c r="B374" t="s">
        <v>439</v>
      </c>
      <c r="C374" t="str">
        <f>TEXT(Sales[[#This Row],[Order_Date]],"mmm")</f>
        <v>Aug</v>
      </c>
      <c r="D374" t="s">
        <v>251</v>
      </c>
      <c r="E374" t="s">
        <v>42</v>
      </c>
      <c r="F374" t="s">
        <v>17</v>
      </c>
      <c r="G374" t="s">
        <v>114</v>
      </c>
      <c r="H374">
        <v>5</v>
      </c>
      <c r="I374">
        <v>2771</v>
      </c>
      <c r="J374">
        <v>13855</v>
      </c>
    </row>
    <row r="375" spans="1:10" x14ac:dyDescent="0.3">
      <c r="A375">
        <v>1222</v>
      </c>
      <c r="B375" t="s">
        <v>462</v>
      </c>
      <c r="C375" t="str">
        <f>TEXT(Sales[[#This Row],[Order_Date]],"mmm")</f>
        <v>Apr</v>
      </c>
      <c r="D375" t="s">
        <v>105</v>
      </c>
      <c r="E375" t="s">
        <v>11</v>
      </c>
      <c r="F375" t="s">
        <v>89</v>
      </c>
      <c r="G375" t="s">
        <v>95</v>
      </c>
      <c r="H375">
        <v>5</v>
      </c>
      <c r="I375">
        <v>4644</v>
      </c>
      <c r="J375">
        <v>23220</v>
      </c>
    </row>
    <row r="376" spans="1:10" x14ac:dyDescent="0.3">
      <c r="A376">
        <v>1118</v>
      </c>
      <c r="B376" t="s">
        <v>490</v>
      </c>
      <c r="C376" t="str">
        <f>TEXT(Sales[[#This Row],[Order_Date]],"mmm")</f>
        <v>Jun</v>
      </c>
      <c r="D376" t="s">
        <v>491</v>
      </c>
      <c r="E376" t="s">
        <v>42</v>
      </c>
      <c r="F376" t="s">
        <v>136</v>
      </c>
      <c r="G376" t="s">
        <v>67</v>
      </c>
      <c r="H376">
        <v>4</v>
      </c>
      <c r="I376">
        <v>304</v>
      </c>
      <c r="J376">
        <v>1216</v>
      </c>
    </row>
    <row r="377" spans="1:10" x14ac:dyDescent="0.3">
      <c r="A377">
        <v>1148</v>
      </c>
      <c r="B377" t="s">
        <v>492</v>
      </c>
      <c r="C377" t="str">
        <f>TEXT(Sales[[#This Row],[Order_Date]],"mmm")</f>
        <v>Jan</v>
      </c>
      <c r="D377" t="s">
        <v>356</v>
      </c>
      <c r="E377" t="s">
        <v>11</v>
      </c>
      <c r="F377" t="s">
        <v>83</v>
      </c>
      <c r="G377" t="s">
        <v>93</v>
      </c>
      <c r="H377">
        <v>3</v>
      </c>
      <c r="I377">
        <v>2252</v>
      </c>
      <c r="J377">
        <v>6756</v>
      </c>
    </row>
    <row r="378" spans="1:10" x14ac:dyDescent="0.3">
      <c r="A378">
        <v>1302</v>
      </c>
      <c r="B378" t="s">
        <v>374</v>
      </c>
      <c r="C378" t="str">
        <f>TEXT(Sales[[#This Row],[Order_Date]],"mmm")</f>
        <v>Apr</v>
      </c>
      <c r="D378" t="s">
        <v>493</v>
      </c>
      <c r="E378" t="s">
        <v>25</v>
      </c>
      <c r="F378" t="s">
        <v>83</v>
      </c>
      <c r="G378" t="s">
        <v>112</v>
      </c>
      <c r="H378">
        <v>5</v>
      </c>
      <c r="I378">
        <v>4802</v>
      </c>
      <c r="J378">
        <v>24010</v>
      </c>
    </row>
    <row r="379" spans="1:10" x14ac:dyDescent="0.3">
      <c r="A379">
        <v>1574</v>
      </c>
      <c r="B379" t="s">
        <v>149</v>
      </c>
      <c r="C379" t="str">
        <f>TEXT(Sales[[#This Row],[Order_Date]],"mmm")</f>
        <v>Jul</v>
      </c>
      <c r="D379" t="s">
        <v>74</v>
      </c>
      <c r="E379" t="s">
        <v>11</v>
      </c>
      <c r="F379" t="s">
        <v>89</v>
      </c>
      <c r="G379" t="s">
        <v>27</v>
      </c>
      <c r="H379">
        <v>4</v>
      </c>
      <c r="I379">
        <v>2761</v>
      </c>
      <c r="J379">
        <v>11044</v>
      </c>
    </row>
    <row r="380" spans="1:10" x14ac:dyDescent="0.3">
      <c r="A380">
        <v>1257</v>
      </c>
      <c r="B380" t="s">
        <v>494</v>
      </c>
      <c r="C380" t="str">
        <f>TEXT(Sales[[#This Row],[Order_Date]],"mmm")</f>
        <v>Apr</v>
      </c>
      <c r="D380" t="s">
        <v>495</v>
      </c>
      <c r="E380" t="s">
        <v>16</v>
      </c>
      <c r="F380" t="s">
        <v>136</v>
      </c>
      <c r="G380" t="s">
        <v>128</v>
      </c>
      <c r="H380">
        <v>2</v>
      </c>
      <c r="I380">
        <v>2609</v>
      </c>
      <c r="J380">
        <v>5218</v>
      </c>
    </row>
    <row r="381" spans="1:10" x14ac:dyDescent="0.3">
      <c r="A381">
        <v>1076</v>
      </c>
      <c r="B381" t="s">
        <v>90</v>
      </c>
      <c r="C381" t="str">
        <f>TEXT(Sales[[#This Row],[Order_Date]],"mmm")</f>
        <v>Apr</v>
      </c>
      <c r="D381" t="s">
        <v>386</v>
      </c>
      <c r="E381" t="s">
        <v>11</v>
      </c>
      <c r="F381" t="s">
        <v>17</v>
      </c>
      <c r="G381" t="s">
        <v>18</v>
      </c>
      <c r="H381">
        <v>1</v>
      </c>
      <c r="I381">
        <v>3710</v>
      </c>
      <c r="J381">
        <v>3710</v>
      </c>
    </row>
    <row r="382" spans="1:10" x14ac:dyDescent="0.3">
      <c r="A382">
        <v>1164</v>
      </c>
      <c r="B382" t="s">
        <v>47</v>
      </c>
      <c r="C382" t="str">
        <f>TEXT(Sales[[#This Row],[Order_Date]],"mmm")</f>
        <v>Oct</v>
      </c>
      <c r="D382" t="s">
        <v>263</v>
      </c>
      <c r="E382" t="s">
        <v>16</v>
      </c>
      <c r="F382" t="s">
        <v>89</v>
      </c>
      <c r="G382" t="s">
        <v>27</v>
      </c>
      <c r="H382">
        <v>2</v>
      </c>
      <c r="I382">
        <v>527</v>
      </c>
      <c r="J382">
        <v>1054</v>
      </c>
    </row>
    <row r="383" spans="1:10" x14ac:dyDescent="0.3">
      <c r="A383">
        <v>1052</v>
      </c>
      <c r="B383" t="s">
        <v>198</v>
      </c>
      <c r="C383" t="str">
        <f>TEXT(Sales[[#This Row],[Order_Date]],"mmm")</f>
        <v>Nov</v>
      </c>
      <c r="D383" t="s">
        <v>350</v>
      </c>
      <c r="E383" t="s">
        <v>25</v>
      </c>
      <c r="F383" t="s">
        <v>89</v>
      </c>
      <c r="G383" t="s">
        <v>75</v>
      </c>
      <c r="H383">
        <v>3</v>
      </c>
      <c r="I383">
        <v>4504</v>
      </c>
      <c r="J383">
        <v>13512</v>
      </c>
    </row>
    <row r="384" spans="1:10" x14ac:dyDescent="0.3">
      <c r="A384">
        <v>1069</v>
      </c>
      <c r="B384" t="s">
        <v>437</v>
      </c>
      <c r="C384" t="str">
        <f>TEXT(Sales[[#This Row],[Order_Date]],"mmm")</f>
        <v>Sep</v>
      </c>
      <c r="D384" t="s">
        <v>496</v>
      </c>
      <c r="E384" t="s">
        <v>25</v>
      </c>
      <c r="F384" t="s">
        <v>136</v>
      </c>
      <c r="G384" t="s">
        <v>67</v>
      </c>
      <c r="H384">
        <v>3</v>
      </c>
      <c r="I384">
        <v>2012</v>
      </c>
      <c r="J384">
        <v>6036</v>
      </c>
    </row>
    <row r="385" spans="1:10" x14ac:dyDescent="0.3">
      <c r="A385">
        <v>1339</v>
      </c>
      <c r="B385" t="s">
        <v>497</v>
      </c>
      <c r="C385" t="str">
        <f>TEXT(Sales[[#This Row],[Order_Date]],"mmm")</f>
        <v>Jul</v>
      </c>
      <c r="D385" t="s">
        <v>282</v>
      </c>
      <c r="E385" t="s">
        <v>42</v>
      </c>
      <c r="F385" t="s">
        <v>17</v>
      </c>
      <c r="G385" t="s">
        <v>18</v>
      </c>
      <c r="H385">
        <v>1</v>
      </c>
      <c r="I385">
        <v>3034</v>
      </c>
      <c r="J385">
        <v>3034</v>
      </c>
    </row>
    <row r="386" spans="1:10" x14ac:dyDescent="0.3">
      <c r="A386">
        <v>1249</v>
      </c>
      <c r="B386" t="s">
        <v>425</v>
      </c>
      <c r="C386" t="str">
        <f>TEXT(Sales[[#This Row],[Order_Date]],"mmm")</f>
        <v>Jan</v>
      </c>
      <c r="D386" t="s">
        <v>351</v>
      </c>
      <c r="E386" t="s">
        <v>11</v>
      </c>
      <c r="F386" t="s">
        <v>89</v>
      </c>
      <c r="G386" t="s">
        <v>75</v>
      </c>
      <c r="H386">
        <v>3</v>
      </c>
      <c r="I386">
        <v>4625</v>
      </c>
      <c r="J386">
        <v>13875</v>
      </c>
    </row>
    <row r="387" spans="1:10" x14ac:dyDescent="0.3">
      <c r="A387">
        <v>1529</v>
      </c>
      <c r="B387" t="s">
        <v>362</v>
      </c>
      <c r="C387" t="str">
        <f>TEXT(Sales[[#This Row],[Order_Date]],"mmm")</f>
        <v>Jul</v>
      </c>
      <c r="D387" t="s">
        <v>498</v>
      </c>
      <c r="E387" t="s">
        <v>42</v>
      </c>
      <c r="F387" t="s">
        <v>136</v>
      </c>
      <c r="G387" t="s">
        <v>46</v>
      </c>
      <c r="H387">
        <v>2</v>
      </c>
      <c r="I387">
        <v>2824</v>
      </c>
      <c r="J387">
        <v>5648</v>
      </c>
    </row>
    <row r="388" spans="1:10" x14ac:dyDescent="0.3">
      <c r="A388">
        <v>1171</v>
      </c>
      <c r="B388" t="s">
        <v>499</v>
      </c>
      <c r="C388" t="str">
        <f>TEXT(Sales[[#This Row],[Order_Date]],"mmm")</f>
        <v>Oct</v>
      </c>
      <c r="D388" t="s">
        <v>286</v>
      </c>
      <c r="E388" t="s">
        <v>16</v>
      </c>
      <c r="F388" t="s">
        <v>83</v>
      </c>
      <c r="G388" t="s">
        <v>32</v>
      </c>
      <c r="H388">
        <v>4</v>
      </c>
      <c r="I388">
        <v>1051</v>
      </c>
      <c r="J388">
        <v>4204</v>
      </c>
    </row>
    <row r="389" spans="1:10" x14ac:dyDescent="0.3">
      <c r="A389">
        <v>1445</v>
      </c>
      <c r="B389" t="s">
        <v>161</v>
      </c>
      <c r="C389" t="str">
        <f>TEXT(Sales[[#This Row],[Order_Date]],"mmm")</f>
        <v>Nov</v>
      </c>
      <c r="D389" t="s">
        <v>500</v>
      </c>
      <c r="E389" t="s">
        <v>16</v>
      </c>
      <c r="F389" t="s">
        <v>83</v>
      </c>
      <c r="G389" t="s">
        <v>93</v>
      </c>
      <c r="H389">
        <v>3</v>
      </c>
      <c r="I389">
        <v>510</v>
      </c>
      <c r="J389">
        <v>1530</v>
      </c>
    </row>
    <row r="390" spans="1:10" x14ac:dyDescent="0.3">
      <c r="A390">
        <v>1257</v>
      </c>
      <c r="B390" t="s">
        <v>229</v>
      </c>
      <c r="C390" t="str">
        <f>TEXT(Sales[[#This Row],[Order_Date]],"mmm")</f>
        <v>Oct</v>
      </c>
      <c r="D390" t="s">
        <v>397</v>
      </c>
      <c r="E390" t="s">
        <v>657</v>
      </c>
      <c r="F390" t="s">
        <v>17</v>
      </c>
      <c r="G390" t="s">
        <v>101</v>
      </c>
      <c r="H390">
        <v>4</v>
      </c>
      <c r="I390">
        <v>3513</v>
      </c>
      <c r="J390">
        <v>14052</v>
      </c>
    </row>
    <row r="391" spans="1:10" x14ac:dyDescent="0.3">
      <c r="A391">
        <v>1121</v>
      </c>
      <c r="B391" t="s">
        <v>376</v>
      </c>
      <c r="C391" t="str">
        <f>TEXT(Sales[[#This Row],[Order_Date]],"mmm")</f>
        <v>Sep</v>
      </c>
      <c r="D391" t="s">
        <v>252</v>
      </c>
      <c r="E391" t="s">
        <v>25</v>
      </c>
      <c r="F391" t="s">
        <v>83</v>
      </c>
      <c r="G391" t="s">
        <v>57</v>
      </c>
      <c r="H391">
        <v>3</v>
      </c>
      <c r="I391">
        <v>4319</v>
      </c>
      <c r="J391">
        <v>12957</v>
      </c>
    </row>
    <row r="392" spans="1:10" x14ac:dyDescent="0.3">
      <c r="A392">
        <v>1308</v>
      </c>
      <c r="B392" t="s">
        <v>129</v>
      </c>
      <c r="C392" t="str">
        <f>TEXT(Sales[[#This Row],[Order_Date]],"mmm")</f>
        <v>Nov</v>
      </c>
      <c r="D392" t="s">
        <v>501</v>
      </c>
      <c r="E392" t="s">
        <v>11</v>
      </c>
      <c r="F392" t="s">
        <v>89</v>
      </c>
      <c r="G392" t="s">
        <v>75</v>
      </c>
      <c r="H392">
        <v>1</v>
      </c>
      <c r="I392">
        <v>4082</v>
      </c>
      <c r="J392">
        <v>4082</v>
      </c>
    </row>
    <row r="393" spans="1:10" x14ac:dyDescent="0.3">
      <c r="A393">
        <v>1400</v>
      </c>
      <c r="B393" t="s">
        <v>380</v>
      </c>
      <c r="C393" t="str">
        <f>TEXT(Sales[[#This Row],[Order_Date]],"mmm")</f>
        <v>Oct</v>
      </c>
      <c r="D393" t="s">
        <v>282</v>
      </c>
      <c r="E393" t="s">
        <v>42</v>
      </c>
      <c r="F393" t="s">
        <v>17</v>
      </c>
      <c r="G393" t="s">
        <v>101</v>
      </c>
      <c r="H393">
        <v>5</v>
      </c>
      <c r="I393">
        <v>4747</v>
      </c>
      <c r="J393">
        <v>23735</v>
      </c>
    </row>
    <row r="394" spans="1:10" x14ac:dyDescent="0.3">
      <c r="A394">
        <v>1586</v>
      </c>
      <c r="B394" t="s">
        <v>341</v>
      </c>
      <c r="C394" t="str">
        <f>TEXT(Sales[[#This Row],[Order_Date]],"mmm")</f>
        <v>Nov</v>
      </c>
      <c r="D394" t="s">
        <v>404</v>
      </c>
      <c r="E394" t="s">
        <v>25</v>
      </c>
      <c r="F394" t="s">
        <v>83</v>
      </c>
      <c r="G394" t="s">
        <v>112</v>
      </c>
      <c r="H394">
        <v>2</v>
      </c>
      <c r="I394">
        <v>3580</v>
      </c>
      <c r="J394">
        <v>7160</v>
      </c>
    </row>
    <row r="395" spans="1:10" x14ac:dyDescent="0.3">
      <c r="A395">
        <v>1145</v>
      </c>
      <c r="B395" t="s">
        <v>502</v>
      </c>
      <c r="C395" t="str">
        <f>TEXT(Sales[[#This Row],[Order_Date]],"mmm")</f>
        <v>Mar</v>
      </c>
      <c r="D395" t="s">
        <v>390</v>
      </c>
      <c r="E395" t="s">
        <v>16</v>
      </c>
      <c r="F395" t="s">
        <v>17</v>
      </c>
      <c r="G395" t="s">
        <v>18</v>
      </c>
      <c r="H395">
        <v>1</v>
      </c>
      <c r="I395">
        <v>1685</v>
      </c>
      <c r="J395">
        <v>1685</v>
      </c>
    </row>
    <row r="396" spans="1:10" x14ac:dyDescent="0.3">
      <c r="A396">
        <v>1055</v>
      </c>
      <c r="B396" t="s">
        <v>379</v>
      </c>
      <c r="C396" t="str">
        <f>TEXT(Sales[[#This Row],[Order_Date]],"mmm")</f>
        <v>Oct</v>
      </c>
      <c r="D396" t="s">
        <v>301</v>
      </c>
      <c r="E396" t="s">
        <v>42</v>
      </c>
      <c r="F396" t="s">
        <v>83</v>
      </c>
      <c r="G396" t="s">
        <v>112</v>
      </c>
      <c r="H396">
        <v>1</v>
      </c>
      <c r="I396">
        <v>1817</v>
      </c>
      <c r="J396">
        <v>1817</v>
      </c>
    </row>
    <row r="397" spans="1:10" x14ac:dyDescent="0.3">
      <c r="A397">
        <v>1338</v>
      </c>
      <c r="B397" t="s">
        <v>503</v>
      </c>
      <c r="C397" t="str">
        <f>TEXT(Sales[[#This Row],[Order_Date]],"mmm")</f>
        <v>Jul</v>
      </c>
      <c r="D397" t="s">
        <v>311</v>
      </c>
      <c r="E397" t="s">
        <v>25</v>
      </c>
      <c r="F397" t="s">
        <v>17</v>
      </c>
      <c r="G397" t="s">
        <v>72</v>
      </c>
      <c r="H397">
        <v>2</v>
      </c>
      <c r="I397">
        <v>2803</v>
      </c>
      <c r="J397">
        <v>5606</v>
      </c>
    </row>
    <row r="398" spans="1:10" x14ac:dyDescent="0.3">
      <c r="A398">
        <v>1313</v>
      </c>
      <c r="B398" t="s">
        <v>315</v>
      </c>
      <c r="C398" t="str">
        <f>TEXT(Sales[[#This Row],[Order_Date]],"mmm")</f>
        <v>Dec</v>
      </c>
      <c r="D398" t="s">
        <v>504</v>
      </c>
      <c r="E398" t="s">
        <v>25</v>
      </c>
      <c r="F398" t="s">
        <v>17</v>
      </c>
      <c r="G398" t="s">
        <v>657</v>
      </c>
      <c r="H398">
        <v>4</v>
      </c>
      <c r="I398">
        <v>1581</v>
      </c>
      <c r="J398">
        <v>6324</v>
      </c>
    </row>
    <row r="399" spans="1:10" x14ac:dyDescent="0.3">
      <c r="A399">
        <v>1226</v>
      </c>
      <c r="B399" t="s">
        <v>435</v>
      </c>
      <c r="C399" t="str">
        <f>TEXT(Sales[[#This Row],[Order_Date]],"mmm")</f>
        <v>Dec</v>
      </c>
      <c r="D399" t="s">
        <v>10</v>
      </c>
      <c r="E399" t="s">
        <v>11</v>
      </c>
      <c r="F399" t="s">
        <v>136</v>
      </c>
      <c r="G399" t="s">
        <v>22</v>
      </c>
      <c r="H399">
        <v>3</v>
      </c>
      <c r="I399">
        <v>4131</v>
      </c>
      <c r="J399">
        <v>12393</v>
      </c>
    </row>
    <row r="400" spans="1:10" x14ac:dyDescent="0.3">
      <c r="A400">
        <v>1312</v>
      </c>
      <c r="B400" t="s">
        <v>505</v>
      </c>
      <c r="C400" t="str">
        <f>TEXT(Sales[[#This Row],[Order_Date]],"mmm")</f>
        <v>Sep</v>
      </c>
      <c r="D400" t="s">
        <v>378</v>
      </c>
      <c r="E400" t="s">
        <v>42</v>
      </c>
      <c r="F400" t="s">
        <v>83</v>
      </c>
      <c r="G400" t="s">
        <v>93</v>
      </c>
      <c r="H400">
        <v>2</v>
      </c>
      <c r="I400">
        <v>4612</v>
      </c>
      <c r="J400">
        <v>9224</v>
      </c>
    </row>
    <row r="401" spans="1:10" x14ac:dyDescent="0.3">
      <c r="A401">
        <v>1078</v>
      </c>
      <c r="B401" t="s">
        <v>108</v>
      </c>
      <c r="C401" t="str">
        <f>TEXT(Sales[[#This Row],[Order_Date]],"mmm")</f>
        <v>Feb</v>
      </c>
      <c r="D401" t="s">
        <v>363</v>
      </c>
      <c r="E401" t="s">
        <v>11</v>
      </c>
      <c r="F401" t="s">
        <v>83</v>
      </c>
      <c r="G401" t="s">
        <v>57</v>
      </c>
      <c r="H401">
        <v>5</v>
      </c>
      <c r="I401">
        <v>1942</v>
      </c>
      <c r="J401">
        <v>9710</v>
      </c>
    </row>
    <row r="402" spans="1:10" x14ac:dyDescent="0.3">
      <c r="A402">
        <v>1556</v>
      </c>
      <c r="B402" t="s">
        <v>506</v>
      </c>
      <c r="C402" t="str">
        <f>TEXT(Sales[[#This Row],[Order_Date]],"mmm")</f>
        <v>Oct</v>
      </c>
      <c r="D402" t="s">
        <v>430</v>
      </c>
      <c r="E402" t="s">
        <v>16</v>
      </c>
      <c r="F402" t="s">
        <v>17</v>
      </c>
      <c r="G402" t="s">
        <v>101</v>
      </c>
      <c r="H402">
        <v>5</v>
      </c>
      <c r="I402">
        <v>2583</v>
      </c>
      <c r="J402">
        <v>12915</v>
      </c>
    </row>
    <row r="403" spans="1:10" x14ac:dyDescent="0.3">
      <c r="A403">
        <v>1092</v>
      </c>
      <c r="B403" t="s">
        <v>234</v>
      </c>
      <c r="C403" t="str">
        <f>TEXT(Sales[[#This Row],[Order_Date]],"mmm")</f>
        <v>Jul</v>
      </c>
      <c r="D403" t="s">
        <v>230</v>
      </c>
      <c r="E403" t="s">
        <v>11</v>
      </c>
      <c r="F403" t="s">
        <v>83</v>
      </c>
      <c r="G403" t="s">
        <v>93</v>
      </c>
      <c r="H403">
        <v>4</v>
      </c>
      <c r="I403">
        <v>1504</v>
      </c>
      <c r="J403">
        <v>6016</v>
      </c>
    </row>
    <row r="404" spans="1:10" x14ac:dyDescent="0.3">
      <c r="A404">
        <v>1149</v>
      </c>
      <c r="B404" t="s">
        <v>221</v>
      </c>
      <c r="C404" t="str">
        <f>TEXT(Sales[[#This Row],[Order_Date]],"mmm")</f>
        <v>Sep</v>
      </c>
      <c r="D404" t="s">
        <v>507</v>
      </c>
      <c r="E404" t="s">
        <v>16</v>
      </c>
      <c r="F404" t="s">
        <v>89</v>
      </c>
      <c r="G404" t="s">
        <v>27</v>
      </c>
      <c r="H404">
        <v>2</v>
      </c>
      <c r="I404">
        <v>714</v>
      </c>
      <c r="J404">
        <v>1428</v>
      </c>
    </row>
    <row r="405" spans="1:10" x14ac:dyDescent="0.3">
      <c r="A405">
        <v>1211</v>
      </c>
      <c r="B405" t="s">
        <v>508</v>
      </c>
      <c r="C405" t="str">
        <f>TEXT(Sales[[#This Row],[Order_Date]],"mmm")</f>
        <v>Sep</v>
      </c>
      <c r="D405" t="s">
        <v>274</v>
      </c>
      <c r="E405" t="s">
        <v>16</v>
      </c>
      <c r="F405" t="s">
        <v>89</v>
      </c>
      <c r="G405" t="s">
        <v>75</v>
      </c>
      <c r="H405">
        <v>1</v>
      </c>
      <c r="I405">
        <v>526</v>
      </c>
      <c r="J405">
        <v>526</v>
      </c>
    </row>
    <row r="406" spans="1:10" x14ac:dyDescent="0.3">
      <c r="A406">
        <v>1533</v>
      </c>
      <c r="B406" t="s">
        <v>509</v>
      </c>
      <c r="C406" t="str">
        <f>TEXT(Sales[[#This Row],[Order_Date]],"mmm")</f>
        <v>Nov</v>
      </c>
      <c r="D406" t="s">
        <v>293</v>
      </c>
      <c r="E406" t="s">
        <v>11</v>
      </c>
      <c r="F406" t="s">
        <v>89</v>
      </c>
      <c r="G406" t="s">
        <v>95</v>
      </c>
      <c r="H406">
        <v>4</v>
      </c>
      <c r="I406">
        <v>3192</v>
      </c>
      <c r="J406">
        <v>12768</v>
      </c>
    </row>
    <row r="407" spans="1:10" x14ac:dyDescent="0.3">
      <c r="A407">
        <v>1079</v>
      </c>
      <c r="B407" t="s">
        <v>510</v>
      </c>
      <c r="C407" t="str">
        <f>TEXT(Sales[[#This Row],[Order_Date]],"mmm")</f>
        <v>Sep</v>
      </c>
      <c r="D407" t="s">
        <v>511</v>
      </c>
      <c r="E407" t="s">
        <v>25</v>
      </c>
      <c r="F407" t="s">
        <v>136</v>
      </c>
      <c r="G407" t="s">
        <v>128</v>
      </c>
      <c r="H407">
        <v>3</v>
      </c>
      <c r="I407">
        <v>4188</v>
      </c>
      <c r="J407">
        <v>12564</v>
      </c>
    </row>
    <row r="408" spans="1:10" x14ac:dyDescent="0.3">
      <c r="A408">
        <v>1006</v>
      </c>
      <c r="B408" t="s">
        <v>58</v>
      </c>
      <c r="C408" t="str">
        <f>TEXT(Sales[[#This Row],[Order_Date]],"mmm")</f>
        <v>Sep</v>
      </c>
      <c r="D408" t="s">
        <v>99</v>
      </c>
      <c r="E408" t="s">
        <v>16</v>
      </c>
      <c r="F408" t="s">
        <v>17</v>
      </c>
      <c r="G408" t="s">
        <v>53</v>
      </c>
      <c r="H408">
        <v>1</v>
      </c>
      <c r="I408">
        <v>4415</v>
      </c>
      <c r="J408">
        <v>4415</v>
      </c>
    </row>
    <row r="409" spans="1:10" x14ac:dyDescent="0.3">
      <c r="A409">
        <v>1191</v>
      </c>
      <c r="B409" t="s">
        <v>253</v>
      </c>
      <c r="C409" t="str">
        <f>TEXT(Sales[[#This Row],[Order_Date]],"mmm")</f>
        <v>Mar</v>
      </c>
      <c r="D409" t="s">
        <v>512</v>
      </c>
      <c r="E409" t="s">
        <v>25</v>
      </c>
      <c r="F409" t="s">
        <v>83</v>
      </c>
      <c r="G409" t="s">
        <v>93</v>
      </c>
      <c r="H409">
        <v>1</v>
      </c>
      <c r="I409">
        <v>4144</v>
      </c>
      <c r="J409">
        <v>4144</v>
      </c>
    </row>
    <row r="410" spans="1:10" x14ac:dyDescent="0.3">
      <c r="A410">
        <v>1165</v>
      </c>
      <c r="B410" t="s">
        <v>161</v>
      </c>
      <c r="C410" t="str">
        <f>TEXT(Sales[[#This Row],[Order_Date]],"mmm")</f>
        <v>Nov</v>
      </c>
      <c r="D410" t="s">
        <v>34</v>
      </c>
      <c r="E410" t="s">
        <v>42</v>
      </c>
      <c r="F410" t="s">
        <v>136</v>
      </c>
      <c r="G410" t="s">
        <v>124</v>
      </c>
      <c r="H410">
        <v>2</v>
      </c>
      <c r="I410">
        <v>4898</v>
      </c>
      <c r="J410">
        <v>9796</v>
      </c>
    </row>
    <row r="411" spans="1:10" x14ac:dyDescent="0.3">
      <c r="A411">
        <v>1524</v>
      </c>
      <c r="B411" t="s">
        <v>425</v>
      </c>
      <c r="C411" t="str">
        <f>TEXT(Sales[[#This Row],[Order_Date]],"mmm")</f>
        <v>Jan</v>
      </c>
      <c r="D411" t="s">
        <v>363</v>
      </c>
      <c r="E411" t="s">
        <v>42</v>
      </c>
      <c r="F411" t="s">
        <v>17</v>
      </c>
      <c r="G411" t="s">
        <v>72</v>
      </c>
      <c r="H411">
        <v>2</v>
      </c>
      <c r="I411">
        <v>4432</v>
      </c>
      <c r="J411">
        <v>8864</v>
      </c>
    </row>
    <row r="412" spans="1:10" x14ac:dyDescent="0.3">
      <c r="A412">
        <v>1577</v>
      </c>
      <c r="B412" t="s">
        <v>455</v>
      </c>
      <c r="C412" t="str">
        <f>TEXT(Sales[[#This Row],[Order_Date]],"mmm")</f>
        <v>Nov</v>
      </c>
      <c r="D412" t="s">
        <v>281</v>
      </c>
      <c r="E412" t="s">
        <v>16</v>
      </c>
      <c r="F412" t="s">
        <v>89</v>
      </c>
      <c r="G412" t="s">
        <v>27</v>
      </c>
      <c r="H412">
        <v>5</v>
      </c>
      <c r="I412">
        <v>4061</v>
      </c>
      <c r="J412">
        <v>20305</v>
      </c>
    </row>
    <row r="413" spans="1:10" x14ac:dyDescent="0.3">
      <c r="A413">
        <v>1420</v>
      </c>
      <c r="B413" t="s">
        <v>513</v>
      </c>
      <c r="C413" t="str">
        <f>TEXT(Sales[[#This Row],[Order_Date]],"mmm")</f>
        <v>Nov</v>
      </c>
      <c r="D413" t="s">
        <v>514</v>
      </c>
      <c r="E413" t="s">
        <v>11</v>
      </c>
      <c r="F413" t="s">
        <v>17</v>
      </c>
      <c r="G413" t="s">
        <v>18</v>
      </c>
      <c r="H413">
        <v>3</v>
      </c>
      <c r="I413">
        <v>3914</v>
      </c>
      <c r="J413">
        <v>11742</v>
      </c>
    </row>
    <row r="414" spans="1:10" x14ac:dyDescent="0.3">
      <c r="A414">
        <v>1387</v>
      </c>
      <c r="B414" t="s">
        <v>392</v>
      </c>
      <c r="C414" t="str">
        <f>TEXT(Sales[[#This Row],[Order_Date]],"mmm")</f>
        <v>Jul</v>
      </c>
      <c r="D414" t="s">
        <v>418</v>
      </c>
      <c r="E414" t="s">
        <v>11</v>
      </c>
      <c r="F414" t="s">
        <v>83</v>
      </c>
      <c r="G414" t="s">
        <v>32</v>
      </c>
      <c r="H414">
        <v>2</v>
      </c>
      <c r="I414">
        <v>988</v>
      </c>
      <c r="J414">
        <v>1976</v>
      </c>
    </row>
    <row r="415" spans="1:10" x14ac:dyDescent="0.3">
      <c r="A415">
        <v>1039</v>
      </c>
      <c r="B415" t="s">
        <v>340</v>
      </c>
      <c r="C415" t="str">
        <f>TEXT(Sales[[#This Row],[Order_Date]],"mmm")</f>
        <v>Sep</v>
      </c>
      <c r="D415" t="s">
        <v>288</v>
      </c>
      <c r="E415" t="s">
        <v>11</v>
      </c>
      <c r="F415" t="s">
        <v>83</v>
      </c>
      <c r="G415" t="s">
        <v>32</v>
      </c>
      <c r="H415">
        <v>5</v>
      </c>
      <c r="I415">
        <v>4617</v>
      </c>
      <c r="J415">
        <v>23085</v>
      </c>
    </row>
    <row r="416" spans="1:10" x14ac:dyDescent="0.3">
      <c r="A416">
        <v>1441</v>
      </c>
      <c r="B416" t="s">
        <v>181</v>
      </c>
      <c r="C416" t="str">
        <f>TEXT(Sales[[#This Row],[Order_Date]],"mmm")</f>
        <v>Sep</v>
      </c>
      <c r="D416" t="s">
        <v>333</v>
      </c>
      <c r="E416" t="s">
        <v>16</v>
      </c>
      <c r="F416" t="s">
        <v>89</v>
      </c>
      <c r="G416" t="s">
        <v>27</v>
      </c>
      <c r="H416">
        <v>4</v>
      </c>
      <c r="I416">
        <v>3323</v>
      </c>
      <c r="J416">
        <v>13292</v>
      </c>
    </row>
    <row r="417" spans="1:10" x14ac:dyDescent="0.3">
      <c r="A417">
        <v>1589</v>
      </c>
      <c r="B417" t="s">
        <v>515</v>
      </c>
      <c r="C417" t="str">
        <f>TEXT(Sales[[#This Row],[Order_Date]],"mmm")</f>
        <v>Feb</v>
      </c>
      <c r="D417" t="s">
        <v>516</v>
      </c>
      <c r="E417" t="s">
        <v>16</v>
      </c>
      <c r="F417" t="s">
        <v>17</v>
      </c>
      <c r="G417" t="s">
        <v>101</v>
      </c>
      <c r="H417">
        <v>1</v>
      </c>
      <c r="I417">
        <v>2520</v>
      </c>
      <c r="J417">
        <v>2520</v>
      </c>
    </row>
    <row r="418" spans="1:10" x14ac:dyDescent="0.3">
      <c r="A418">
        <v>1263</v>
      </c>
      <c r="B418" t="s">
        <v>517</v>
      </c>
      <c r="C418" t="str">
        <f>TEXT(Sales[[#This Row],[Order_Date]],"mmm")</f>
        <v>Apr</v>
      </c>
      <c r="D418" t="s">
        <v>252</v>
      </c>
      <c r="E418" t="s">
        <v>42</v>
      </c>
      <c r="F418" t="s">
        <v>83</v>
      </c>
      <c r="G418" t="s">
        <v>57</v>
      </c>
      <c r="H418">
        <v>4</v>
      </c>
      <c r="I418">
        <v>1882</v>
      </c>
      <c r="J418">
        <v>7528</v>
      </c>
    </row>
    <row r="419" spans="1:10" x14ac:dyDescent="0.3">
      <c r="A419">
        <v>1370</v>
      </c>
      <c r="B419" t="s">
        <v>489</v>
      </c>
      <c r="C419" t="str">
        <f>TEXT(Sales[[#This Row],[Order_Date]],"mmm")</f>
        <v>Feb</v>
      </c>
      <c r="D419" t="s">
        <v>438</v>
      </c>
      <c r="E419" t="s">
        <v>42</v>
      </c>
      <c r="F419" t="s">
        <v>136</v>
      </c>
      <c r="G419" t="s">
        <v>67</v>
      </c>
      <c r="H419">
        <v>5</v>
      </c>
      <c r="I419">
        <v>3669</v>
      </c>
      <c r="J419">
        <v>18345</v>
      </c>
    </row>
    <row r="420" spans="1:10" x14ac:dyDescent="0.3">
      <c r="A420">
        <v>1406</v>
      </c>
      <c r="B420" t="s">
        <v>374</v>
      </c>
      <c r="C420" t="str">
        <f>TEXT(Sales[[#This Row],[Order_Date]],"mmm")</f>
        <v>Apr</v>
      </c>
      <c r="D420" t="s">
        <v>196</v>
      </c>
      <c r="E420" t="s">
        <v>16</v>
      </c>
      <c r="F420" t="s">
        <v>136</v>
      </c>
      <c r="G420" t="s">
        <v>128</v>
      </c>
      <c r="H420">
        <v>3</v>
      </c>
      <c r="I420">
        <v>2712</v>
      </c>
      <c r="J420">
        <v>8136</v>
      </c>
    </row>
    <row r="421" spans="1:10" x14ac:dyDescent="0.3">
      <c r="A421">
        <v>1407</v>
      </c>
      <c r="B421" t="s">
        <v>419</v>
      </c>
      <c r="C421" t="str">
        <f>TEXT(Sales[[#This Row],[Order_Date]],"mmm")</f>
        <v>Mar</v>
      </c>
      <c r="D421" t="s">
        <v>150</v>
      </c>
      <c r="E421" t="s">
        <v>11</v>
      </c>
      <c r="F421" t="s">
        <v>83</v>
      </c>
      <c r="G421" t="s">
        <v>93</v>
      </c>
      <c r="H421">
        <v>1</v>
      </c>
      <c r="I421">
        <v>1956</v>
      </c>
      <c r="J421">
        <v>1956</v>
      </c>
    </row>
    <row r="422" spans="1:10" x14ac:dyDescent="0.3">
      <c r="A422">
        <v>1563</v>
      </c>
      <c r="B422" t="s">
        <v>405</v>
      </c>
      <c r="C422" t="str">
        <f>TEXT(Sales[[#This Row],[Order_Date]],"mmm")</f>
        <v>Nov</v>
      </c>
      <c r="D422" t="s">
        <v>20</v>
      </c>
      <c r="E422" t="s">
        <v>42</v>
      </c>
      <c r="F422" t="s">
        <v>83</v>
      </c>
      <c r="G422" t="s">
        <v>93</v>
      </c>
      <c r="H422">
        <v>1</v>
      </c>
      <c r="I422">
        <v>1390</v>
      </c>
      <c r="J422">
        <v>1390</v>
      </c>
    </row>
    <row r="423" spans="1:10" x14ac:dyDescent="0.3">
      <c r="A423">
        <v>1090</v>
      </c>
      <c r="B423" t="s">
        <v>295</v>
      </c>
      <c r="C423" t="str">
        <f>TEXT(Sales[[#This Row],[Order_Date]],"mmm")</f>
        <v>Feb</v>
      </c>
      <c r="D423" t="s">
        <v>518</v>
      </c>
      <c r="E423" t="s">
        <v>42</v>
      </c>
      <c r="F423" t="s">
        <v>17</v>
      </c>
      <c r="G423" t="s">
        <v>101</v>
      </c>
      <c r="H423">
        <v>4</v>
      </c>
      <c r="I423">
        <v>3482</v>
      </c>
      <c r="J423">
        <v>13928</v>
      </c>
    </row>
    <row r="424" spans="1:10" x14ac:dyDescent="0.3">
      <c r="A424">
        <v>1058</v>
      </c>
      <c r="B424" t="s">
        <v>441</v>
      </c>
      <c r="C424" t="str">
        <f>TEXT(Sales[[#This Row],[Order_Date]],"mmm")</f>
        <v>Mar</v>
      </c>
      <c r="D424" t="s">
        <v>309</v>
      </c>
      <c r="E424" t="s">
        <v>16</v>
      </c>
      <c r="F424" t="s">
        <v>136</v>
      </c>
      <c r="G424" t="s">
        <v>46</v>
      </c>
      <c r="H424">
        <v>5</v>
      </c>
      <c r="I424">
        <v>2542</v>
      </c>
      <c r="J424">
        <v>12710</v>
      </c>
    </row>
    <row r="425" spans="1:10" x14ac:dyDescent="0.3">
      <c r="A425">
        <v>1522</v>
      </c>
      <c r="B425" t="s">
        <v>510</v>
      </c>
      <c r="C425" t="str">
        <f>TEXT(Sales[[#This Row],[Order_Date]],"mmm")</f>
        <v>Sep</v>
      </c>
      <c r="D425" t="s">
        <v>20</v>
      </c>
      <c r="E425" t="s">
        <v>42</v>
      </c>
      <c r="F425" t="s">
        <v>17</v>
      </c>
      <c r="G425" t="s">
        <v>18</v>
      </c>
      <c r="H425">
        <v>3</v>
      </c>
      <c r="I425">
        <v>2159</v>
      </c>
      <c r="J425">
        <v>6477</v>
      </c>
    </row>
    <row r="426" spans="1:10" x14ac:dyDescent="0.3">
      <c r="A426">
        <v>1088</v>
      </c>
      <c r="B426" t="s">
        <v>237</v>
      </c>
      <c r="C426" t="str">
        <f>TEXT(Sales[[#This Row],[Order_Date]],"mmm")</f>
        <v>May</v>
      </c>
      <c r="D426" t="s">
        <v>241</v>
      </c>
      <c r="E426" t="s">
        <v>11</v>
      </c>
      <c r="F426" t="s">
        <v>136</v>
      </c>
      <c r="G426" t="s">
        <v>22</v>
      </c>
      <c r="H426">
        <v>5</v>
      </c>
      <c r="I426">
        <v>1840</v>
      </c>
      <c r="J426">
        <v>9200</v>
      </c>
    </row>
    <row r="427" spans="1:10" x14ac:dyDescent="0.3">
      <c r="A427">
        <v>1070</v>
      </c>
      <c r="B427" t="s">
        <v>290</v>
      </c>
      <c r="C427" t="str">
        <f>TEXT(Sales[[#This Row],[Order_Date]],"mmm")</f>
        <v>Feb</v>
      </c>
      <c r="D427" t="s">
        <v>519</v>
      </c>
      <c r="E427" t="s">
        <v>25</v>
      </c>
      <c r="F427" t="s">
        <v>89</v>
      </c>
      <c r="G427" t="s">
        <v>133</v>
      </c>
      <c r="H427">
        <v>3</v>
      </c>
      <c r="I427">
        <v>2053</v>
      </c>
      <c r="J427">
        <v>6159</v>
      </c>
    </row>
    <row r="428" spans="1:10" x14ac:dyDescent="0.3">
      <c r="A428">
        <v>1413</v>
      </c>
      <c r="B428" t="s">
        <v>520</v>
      </c>
      <c r="C428" t="str">
        <f>TEXT(Sales[[#This Row],[Order_Date]],"mmm")</f>
        <v>Oct</v>
      </c>
      <c r="D428" t="s">
        <v>252</v>
      </c>
      <c r="E428" t="s">
        <v>25</v>
      </c>
      <c r="F428" t="s">
        <v>89</v>
      </c>
      <c r="G428" t="s">
        <v>13</v>
      </c>
      <c r="H428">
        <v>5</v>
      </c>
      <c r="I428">
        <v>792</v>
      </c>
      <c r="J428">
        <v>3960</v>
      </c>
    </row>
    <row r="429" spans="1:10" x14ac:dyDescent="0.3">
      <c r="A429">
        <v>1119</v>
      </c>
      <c r="B429" t="s">
        <v>254</v>
      </c>
      <c r="C429" t="str">
        <f>TEXT(Sales[[#This Row],[Order_Date]],"mmm")</f>
        <v>Sep</v>
      </c>
      <c r="D429" t="s">
        <v>345</v>
      </c>
      <c r="E429" t="s">
        <v>16</v>
      </c>
      <c r="F429" t="s">
        <v>89</v>
      </c>
      <c r="G429" t="s">
        <v>133</v>
      </c>
      <c r="H429">
        <v>4</v>
      </c>
      <c r="I429">
        <v>4813</v>
      </c>
      <c r="J429">
        <v>19252</v>
      </c>
    </row>
    <row r="430" spans="1:10" x14ac:dyDescent="0.3">
      <c r="A430">
        <v>1347</v>
      </c>
      <c r="B430" t="s">
        <v>96</v>
      </c>
      <c r="C430" t="str">
        <f>TEXT(Sales[[#This Row],[Order_Date]],"mmm")</f>
        <v>Aug</v>
      </c>
      <c r="D430" t="s">
        <v>351</v>
      </c>
      <c r="E430" t="s">
        <v>16</v>
      </c>
      <c r="F430" t="s">
        <v>136</v>
      </c>
      <c r="G430" t="s">
        <v>67</v>
      </c>
      <c r="H430">
        <v>1</v>
      </c>
      <c r="I430">
        <v>2312</v>
      </c>
      <c r="J430">
        <v>2312</v>
      </c>
    </row>
    <row r="431" spans="1:10" x14ac:dyDescent="0.3">
      <c r="A431">
        <v>1225</v>
      </c>
      <c r="B431" t="s">
        <v>387</v>
      </c>
      <c r="C431" t="str">
        <f>TEXT(Sales[[#This Row],[Order_Date]],"mmm")</f>
        <v>Dec</v>
      </c>
      <c r="D431" t="s">
        <v>521</v>
      </c>
      <c r="E431" t="s">
        <v>25</v>
      </c>
      <c r="F431" t="s">
        <v>17</v>
      </c>
      <c r="G431" t="s">
        <v>657</v>
      </c>
      <c r="H431">
        <v>5</v>
      </c>
      <c r="I431">
        <v>4588</v>
      </c>
      <c r="J431">
        <v>22940</v>
      </c>
    </row>
    <row r="432" spans="1:10" x14ac:dyDescent="0.3">
      <c r="A432">
        <v>1254</v>
      </c>
      <c r="B432" t="s">
        <v>347</v>
      </c>
      <c r="C432" t="str">
        <f>TEXT(Sales[[#This Row],[Order_Date]],"mmm")</f>
        <v>May</v>
      </c>
      <c r="D432" t="s">
        <v>247</v>
      </c>
      <c r="E432" t="s">
        <v>11</v>
      </c>
      <c r="F432" t="s">
        <v>136</v>
      </c>
      <c r="G432" t="s">
        <v>22</v>
      </c>
      <c r="H432">
        <v>4</v>
      </c>
      <c r="I432">
        <v>2771</v>
      </c>
      <c r="J432">
        <v>11084</v>
      </c>
    </row>
    <row r="433" spans="1:10" x14ac:dyDescent="0.3">
      <c r="A433">
        <v>1275</v>
      </c>
      <c r="B433" t="s">
        <v>479</v>
      </c>
      <c r="C433" t="str">
        <f>TEXT(Sales[[#This Row],[Order_Date]],"mmm")</f>
        <v>Apr</v>
      </c>
      <c r="D433" t="s">
        <v>202</v>
      </c>
      <c r="E433" t="s">
        <v>16</v>
      </c>
      <c r="F433" t="s">
        <v>17</v>
      </c>
      <c r="G433" t="s">
        <v>53</v>
      </c>
      <c r="H433">
        <v>2</v>
      </c>
      <c r="I433">
        <v>2374</v>
      </c>
      <c r="J433">
        <v>4748</v>
      </c>
    </row>
    <row r="434" spans="1:10" x14ac:dyDescent="0.3">
      <c r="A434">
        <v>1255</v>
      </c>
      <c r="B434" t="s">
        <v>522</v>
      </c>
      <c r="C434" t="str">
        <f>TEXT(Sales[[#This Row],[Order_Date]],"mmm")</f>
        <v>Nov</v>
      </c>
      <c r="D434" t="s">
        <v>523</v>
      </c>
      <c r="E434" t="s">
        <v>25</v>
      </c>
      <c r="F434" t="s">
        <v>17</v>
      </c>
      <c r="G434" t="s">
        <v>72</v>
      </c>
      <c r="H434">
        <v>4</v>
      </c>
      <c r="I434">
        <v>254</v>
      </c>
      <c r="J434">
        <v>1016</v>
      </c>
    </row>
    <row r="435" spans="1:10" x14ac:dyDescent="0.3">
      <c r="A435">
        <v>1043</v>
      </c>
      <c r="B435" t="s">
        <v>524</v>
      </c>
      <c r="C435" t="str">
        <f>TEXT(Sales[[#This Row],[Order_Date]],"mmm")</f>
        <v>Sep</v>
      </c>
      <c r="D435" t="s">
        <v>291</v>
      </c>
      <c r="E435" t="s">
        <v>16</v>
      </c>
      <c r="F435" t="s">
        <v>89</v>
      </c>
      <c r="G435" t="s">
        <v>75</v>
      </c>
      <c r="H435">
        <v>2</v>
      </c>
      <c r="I435">
        <v>4387</v>
      </c>
      <c r="J435">
        <v>8774</v>
      </c>
    </row>
    <row r="436" spans="1:10" x14ac:dyDescent="0.3">
      <c r="A436">
        <v>1590</v>
      </c>
      <c r="B436" t="s">
        <v>65</v>
      </c>
      <c r="C436" t="str">
        <f>TEXT(Sales[[#This Row],[Order_Date]],"mmm")</f>
        <v>Mar</v>
      </c>
      <c r="D436" t="s">
        <v>454</v>
      </c>
      <c r="E436" t="s">
        <v>25</v>
      </c>
      <c r="F436" t="s">
        <v>136</v>
      </c>
      <c r="G436" t="s">
        <v>46</v>
      </c>
      <c r="H436">
        <v>4</v>
      </c>
      <c r="I436">
        <v>1631</v>
      </c>
      <c r="J436">
        <v>6524</v>
      </c>
    </row>
    <row r="437" spans="1:10" x14ac:dyDescent="0.3">
      <c r="A437">
        <v>1530</v>
      </c>
      <c r="B437" t="s">
        <v>525</v>
      </c>
      <c r="C437" t="str">
        <f>TEXT(Sales[[#This Row],[Order_Date]],"mmm")</f>
        <v>Aug</v>
      </c>
      <c r="D437" t="s">
        <v>97</v>
      </c>
      <c r="E437" t="s">
        <v>11</v>
      </c>
      <c r="F437" t="s">
        <v>83</v>
      </c>
      <c r="G437" t="s">
        <v>32</v>
      </c>
      <c r="H437">
        <v>5</v>
      </c>
      <c r="I437">
        <v>1025</v>
      </c>
      <c r="J437">
        <v>5125</v>
      </c>
    </row>
    <row r="438" spans="1:10" x14ac:dyDescent="0.3">
      <c r="A438">
        <v>1265</v>
      </c>
      <c r="B438" t="s">
        <v>90</v>
      </c>
      <c r="C438" t="str">
        <f>TEXT(Sales[[#This Row],[Order_Date]],"mmm")</f>
        <v>Apr</v>
      </c>
      <c r="D438" t="s">
        <v>519</v>
      </c>
      <c r="E438" t="s">
        <v>16</v>
      </c>
      <c r="F438" t="s">
        <v>89</v>
      </c>
      <c r="G438" t="s">
        <v>13</v>
      </c>
      <c r="H438">
        <v>5</v>
      </c>
      <c r="I438">
        <v>3010</v>
      </c>
      <c r="J438">
        <v>15050</v>
      </c>
    </row>
    <row r="439" spans="1:10" x14ac:dyDescent="0.3">
      <c r="A439">
        <v>1215</v>
      </c>
      <c r="B439" t="s">
        <v>94</v>
      </c>
      <c r="C439" t="str">
        <f>TEXT(Sales[[#This Row],[Order_Date]],"mmm")</f>
        <v>Aug</v>
      </c>
      <c r="D439" t="s">
        <v>521</v>
      </c>
      <c r="E439" t="s">
        <v>42</v>
      </c>
      <c r="F439" t="s">
        <v>89</v>
      </c>
      <c r="G439" t="s">
        <v>95</v>
      </c>
      <c r="H439">
        <v>4</v>
      </c>
      <c r="I439">
        <v>1673</v>
      </c>
      <c r="J439">
        <v>6692</v>
      </c>
    </row>
    <row r="440" spans="1:10" x14ac:dyDescent="0.3">
      <c r="A440">
        <v>1234</v>
      </c>
      <c r="B440" t="s">
        <v>211</v>
      </c>
      <c r="C440" t="str">
        <f>TEXT(Sales[[#This Row],[Order_Date]],"mmm")</f>
        <v>Feb</v>
      </c>
      <c r="D440" t="s">
        <v>55</v>
      </c>
      <c r="E440" t="s">
        <v>11</v>
      </c>
      <c r="F440" t="s">
        <v>89</v>
      </c>
      <c r="G440" t="s">
        <v>13</v>
      </c>
      <c r="H440">
        <v>2</v>
      </c>
      <c r="I440">
        <v>1394</v>
      </c>
      <c r="J440">
        <v>2788</v>
      </c>
    </row>
    <row r="441" spans="1:10" x14ac:dyDescent="0.3">
      <c r="A441">
        <v>1484</v>
      </c>
      <c r="B441" t="s">
        <v>102</v>
      </c>
      <c r="C441" t="str">
        <f>TEXT(Sales[[#This Row],[Order_Date]],"mmm")</f>
        <v>Jan</v>
      </c>
      <c r="D441" t="s">
        <v>164</v>
      </c>
      <c r="E441" t="s">
        <v>25</v>
      </c>
      <c r="F441" t="s">
        <v>136</v>
      </c>
      <c r="G441" t="s">
        <v>46</v>
      </c>
      <c r="H441">
        <v>4</v>
      </c>
      <c r="I441">
        <v>2657</v>
      </c>
      <c r="J441">
        <v>10628</v>
      </c>
    </row>
    <row r="442" spans="1:10" x14ac:dyDescent="0.3">
      <c r="A442">
        <v>1048</v>
      </c>
      <c r="B442" t="s">
        <v>234</v>
      </c>
      <c r="C442" t="str">
        <f>TEXT(Sales[[#This Row],[Order_Date]],"mmm")</f>
        <v>Jul</v>
      </c>
      <c r="D442" t="s">
        <v>449</v>
      </c>
      <c r="E442" t="s">
        <v>42</v>
      </c>
      <c r="F442" t="s">
        <v>17</v>
      </c>
      <c r="G442" t="s">
        <v>72</v>
      </c>
      <c r="H442">
        <v>4</v>
      </c>
      <c r="I442">
        <v>988</v>
      </c>
      <c r="J442">
        <v>3952</v>
      </c>
    </row>
    <row r="443" spans="1:10" x14ac:dyDescent="0.3">
      <c r="A443">
        <v>1369</v>
      </c>
      <c r="B443" t="s">
        <v>497</v>
      </c>
      <c r="C443" t="str">
        <f>TEXT(Sales[[#This Row],[Order_Date]],"mmm")</f>
        <v>Jul</v>
      </c>
      <c r="D443" t="s">
        <v>491</v>
      </c>
      <c r="E443" t="s">
        <v>11</v>
      </c>
      <c r="F443" t="s">
        <v>89</v>
      </c>
      <c r="G443" t="s">
        <v>95</v>
      </c>
      <c r="H443">
        <v>1</v>
      </c>
      <c r="I443">
        <v>3076</v>
      </c>
      <c r="J443">
        <v>3076</v>
      </c>
    </row>
    <row r="444" spans="1:10" x14ac:dyDescent="0.3">
      <c r="A444">
        <v>1203</v>
      </c>
      <c r="B444" t="s">
        <v>28</v>
      </c>
      <c r="C444" t="str">
        <f>TEXT(Sales[[#This Row],[Order_Date]],"mmm")</f>
        <v>Oct</v>
      </c>
      <c r="D444" t="s">
        <v>526</v>
      </c>
      <c r="E444" t="s">
        <v>25</v>
      </c>
      <c r="F444" t="s">
        <v>17</v>
      </c>
      <c r="G444" t="s">
        <v>101</v>
      </c>
      <c r="H444">
        <v>5</v>
      </c>
      <c r="I444">
        <v>4193</v>
      </c>
      <c r="J444">
        <v>20965</v>
      </c>
    </row>
    <row r="445" spans="1:10" x14ac:dyDescent="0.3">
      <c r="A445">
        <v>1080</v>
      </c>
      <c r="B445" t="s">
        <v>287</v>
      </c>
      <c r="C445" t="str">
        <f>TEXT(Sales[[#This Row],[Order_Date]],"mmm")</f>
        <v>Jul</v>
      </c>
      <c r="D445" t="s">
        <v>350</v>
      </c>
      <c r="E445" t="s">
        <v>11</v>
      </c>
      <c r="F445" t="s">
        <v>89</v>
      </c>
      <c r="G445" t="s">
        <v>75</v>
      </c>
      <c r="H445">
        <v>3</v>
      </c>
      <c r="I445">
        <v>3655</v>
      </c>
      <c r="J445">
        <v>10965</v>
      </c>
    </row>
    <row r="446" spans="1:10" x14ac:dyDescent="0.3">
      <c r="A446">
        <v>1073</v>
      </c>
      <c r="B446" t="s">
        <v>458</v>
      </c>
      <c r="C446" t="str">
        <f>TEXT(Sales[[#This Row],[Order_Date]],"mmm")</f>
        <v>Feb</v>
      </c>
      <c r="D446" t="s">
        <v>527</v>
      </c>
      <c r="E446" t="s">
        <v>25</v>
      </c>
      <c r="F446" t="s">
        <v>89</v>
      </c>
      <c r="G446" t="s">
        <v>13</v>
      </c>
      <c r="H446">
        <v>3</v>
      </c>
      <c r="I446">
        <v>2391</v>
      </c>
      <c r="J446">
        <v>7173</v>
      </c>
    </row>
    <row r="447" spans="1:10" x14ac:dyDescent="0.3">
      <c r="A447">
        <v>1455</v>
      </c>
      <c r="B447" t="s">
        <v>280</v>
      </c>
      <c r="C447" t="str">
        <f>TEXT(Sales[[#This Row],[Order_Date]],"mmm")</f>
        <v>Jul</v>
      </c>
      <c r="D447" t="s">
        <v>88</v>
      </c>
      <c r="E447" t="s">
        <v>11</v>
      </c>
      <c r="F447" t="s">
        <v>136</v>
      </c>
      <c r="G447" t="s">
        <v>46</v>
      </c>
      <c r="H447">
        <v>1</v>
      </c>
      <c r="I447">
        <v>1224</v>
      </c>
      <c r="J447">
        <v>1224</v>
      </c>
    </row>
    <row r="448" spans="1:10" x14ac:dyDescent="0.3">
      <c r="A448">
        <v>1081</v>
      </c>
      <c r="B448" t="s">
        <v>528</v>
      </c>
      <c r="C448" t="str">
        <f>TEXT(Sales[[#This Row],[Order_Date]],"mmm")</f>
        <v>Apr</v>
      </c>
      <c r="D448" t="s">
        <v>218</v>
      </c>
      <c r="E448" t="s">
        <v>25</v>
      </c>
      <c r="F448" t="s">
        <v>136</v>
      </c>
      <c r="G448" t="s">
        <v>124</v>
      </c>
      <c r="H448">
        <v>4</v>
      </c>
      <c r="I448">
        <v>4692</v>
      </c>
      <c r="J448">
        <v>18768</v>
      </c>
    </row>
    <row r="449" spans="1:10" x14ac:dyDescent="0.3">
      <c r="A449">
        <v>1536</v>
      </c>
      <c r="B449" t="s">
        <v>410</v>
      </c>
      <c r="C449" t="str">
        <f>TEXT(Sales[[#This Row],[Order_Date]],"mmm")</f>
        <v>Feb</v>
      </c>
      <c r="D449" t="s">
        <v>267</v>
      </c>
      <c r="E449" t="s">
        <v>25</v>
      </c>
      <c r="F449" t="s">
        <v>89</v>
      </c>
      <c r="G449" t="s">
        <v>133</v>
      </c>
      <c r="H449">
        <v>4</v>
      </c>
      <c r="I449">
        <v>2734</v>
      </c>
      <c r="J449">
        <v>10936</v>
      </c>
    </row>
    <row r="450" spans="1:10" x14ac:dyDescent="0.3">
      <c r="A450">
        <v>1453</v>
      </c>
      <c r="B450" t="s">
        <v>198</v>
      </c>
      <c r="C450" t="str">
        <f>TEXT(Sales[[#This Row],[Order_Date]],"mmm")</f>
        <v>Nov</v>
      </c>
      <c r="D450" t="s">
        <v>311</v>
      </c>
      <c r="E450" t="s">
        <v>42</v>
      </c>
      <c r="F450" t="s">
        <v>17</v>
      </c>
      <c r="G450" t="s">
        <v>18</v>
      </c>
      <c r="H450">
        <v>1</v>
      </c>
      <c r="I450">
        <v>3123</v>
      </c>
      <c r="J450">
        <v>3123</v>
      </c>
    </row>
    <row r="451" spans="1:10" x14ac:dyDescent="0.3">
      <c r="A451">
        <v>1487</v>
      </c>
      <c r="B451" t="s">
        <v>320</v>
      </c>
      <c r="C451" t="str">
        <f>TEXT(Sales[[#This Row],[Order_Date]],"mmm")</f>
        <v>Aug</v>
      </c>
      <c r="D451" t="s">
        <v>305</v>
      </c>
      <c r="E451" t="s">
        <v>11</v>
      </c>
      <c r="F451" t="s">
        <v>89</v>
      </c>
      <c r="G451" t="s">
        <v>133</v>
      </c>
      <c r="H451">
        <v>5</v>
      </c>
      <c r="I451">
        <v>1650</v>
      </c>
      <c r="J451">
        <v>8250</v>
      </c>
    </row>
    <row r="452" spans="1:10" x14ac:dyDescent="0.3">
      <c r="A452">
        <v>1577</v>
      </c>
      <c r="B452" t="s">
        <v>163</v>
      </c>
      <c r="C452" t="str">
        <f>TEXT(Sales[[#This Row],[Order_Date]],"mmm")</f>
        <v>Aug</v>
      </c>
      <c r="D452" t="s">
        <v>472</v>
      </c>
      <c r="E452" t="s">
        <v>16</v>
      </c>
      <c r="F452" t="s">
        <v>89</v>
      </c>
      <c r="G452" t="s">
        <v>95</v>
      </c>
      <c r="H452">
        <v>1</v>
      </c>
      <c r="I452">
        <v>3819</v>
      </c>
      <c r="J452">
        <v>3819</v>
      </c>
    </row>
    <row r="453" spans="1:10" x14ac:dyDescent="0.3">
      <c r="A453">
        <v>1159</v>
      </c>
      <c r="B453" t="s">
        <v>529</v>
      </c>
      <c r="C453" t="str">
        <f>TEXT(Sales[[#This Row],[Order_Date]],"mmm")</f>
        <v>Jun</v>
      </c>
      <c r="D453" t="s">
        <v>530</v>
      </c>
      <c r="E453" t="s">
        <v>25</v>
      </c>
      <c r="F453" t="s">
        <v>83</v>
      </c>
      <c r="G453" t="s">
        <v>57</v>
      </c>
      <c r="H453">
        <v>3</v>
      </c>
      <c r="I453">
        <v>4043</v>
      </c>
      <c r="J453">
        <v>12129</v>
      </c>
    </row>
    <row r="454" spans="1:10" x14ac:dyDescent="0.3">
      <c r="A454">
        <v>1503</v>
      </c>
      <c r="B454" t="s">
        <v>531</v>
      </c>
      <c r="C454" t="str">
        <f>TEXT(Sales[[#This Row],[Order_Date]],"mmm")</f>
        <v>Sep</v>
      </c>
      <c r="D454" t="s">
        <v>532</v>
      </c>
      <c r="E454" t="s">
        <v>16</v>
      </c>
      <c r="F454" t="s">
        <v>83</v>
      </c>
      <c r="G454" t="s">
        <v>78</v>
      </c>
      <c r="H454">
        <v>1</v>
      </c>
      <c r="I454">
        <v>4690</v>
      </c>
      <c r="J454">
        <v>4690</v>
      </c>
    </row>
    <row r="455" spans="1:10" x14ac:dyDescent="0.3">
      <c r="A455">
        <v>1574</v>
      </c>
      <c r="B455" t="s">
        <v>262</v>
      </c>
      <c r="C455" t="str">
        <f>TEXT(Sales[[#This Row],[Order_Date]],"mmm")</f>
        <v>Aug</v>
      </c>
      <c r="D455" t="s">
        <v>260</v>
      </c>
      <c r="E455" t="s">
        <v>11</v>
      </c>
      <c r="F455" t="s">
        <v>17</v>
      </c>
      <c r="G455" t="s">
        <v>114</v>
      </c>
      <c r="H455">
        <v>2</v>
      </c>
      <c r="I455">
        <v>2354</v>
      </c>
      <c r="J455">
        <v>4708</v>
      </c>
    </row>
    <row r="456" spans="1:10" x14ac:dyDescent="0.3">
      <c r="A456">
        <v>1529</v>
      </c>
      <c r="B456" t="s">
        <v>141</v>
      </c>
      <c r="C456" t="str">
        <f>TEXT(Sales[[#This Row],[Order_Date]],"mmm")</f>
        <v>Nov</v>
      </c>
      <c r="D456" t="s">
        <v>251</v>
      </c>
      <c r="E456" t="s">
        <v>11</v>
      </c>
      <c r="F456" t="s">
        <v>89</v>
      </c>
      <c r="G456" t="s">
        <v>95</v>
      </c>
      <c r="H456">
        <v>2</v>
      </c>
      <c r="I456">
        <v>760</v>
      </c>
      <c r="J456">
        <v>1520</v>
      </c>
    </row>
    <row r="457" spans="1:10" x14ac:dyDescent="0.3">
      <c r="A457">
        <v>1466</v>
      </c>
      <c r="B457" t="s">
        <v>522</v>
      </c>
      <c r="C457" t="str">
        <f>TEXT(Sales[[#This Row],[Order_Date]],"mmm")</f>
        <v>Nov</v>
      </c>
      <c r="D457" t="s">
        <v>533</v>
      </c>
      <c r="E457" t="s">
        <v>16</v>
      </c>
      <c r="F457" t="s">
        <v>89</v>
      </c>
      <c r="G457" t="s">
        <v>133</v>
      </c>
      <c r="H457">
        <v>3</v>
      </c>
      <c r="I457">
        <v>358</v>
      </c>
      <c r="J457">
        <v>1074</v>
      </c>
    </row>
    <row r="458" spans="1:10" x14ac:dyDescent="0.3">
      <c r="A458">
        <v>1022</v>
      </c>
      <c r="B458" t="s">
        <v>90</v>
      </c>
      <c r="C458" t="str">
        <f>TEXT(Sales[[#This Row],[Order_Date]],"mmm")</f>
        <v>Apr</v>
      </c>
      <c r="D458" t="s">
        <v>534</v>
      </c>
      <c r="E458" t="s">
        <v>11</v>
      </c>
      <c r="F458" t="s">
        <v>83</v>
      </c>
      <c r="G458" t="s">
        <v>112</v>
      </c>
      <c r="H458">
        <v>4</v>
      </c>
      <c r="I458">
        <v>267</v>
      </c>
      <c r="J458">
        <v>1068</v>
      </c>
    </row>
    <row r="459" spans="1:10" x14ac:dyDescent="0.3">
      <c r="A459">
        <v>1505</v>
      </c>
      <c r="B459" t="s">
        <v>233</v>
      </c>
      <c r="C459" t="str">
        <f>TEXT(Sales[[#This Row],[Order_Date]],"mmm")</f>
        <v>Apr</v>
      </c>
      <c r="D459" t="s">
        <v>162</v>
      </c>
      <c r="E459" t="s">
        <v>25</v>
      </c>
      <c r="F459" t="s">
        <v>136</v>
      </c>
      <c r="G459" t="s">
        <v>22</v>
      </c>
      <c r="H459">
        <v>4</v>
      </c>
      <c r="I459">
        <v>459</v>
      </c>
      <c r="J459">
        <v>1836</v>
      </c>
    </row>
    <row r="460" spans="1:10" x14ac:dyDescent="0.3">
      <c r="A460">
        <v>1149</v>
      </c>
      <c r="B460" t="s">
        <v>446</v>
      </c>
      <c r="C460" t="str">
        <f>TEXT(Sales[[#This Row],[Order_Date]],"mmm")</f>
        <v>Jan</v>
      </c>
      <c r="D460" t="s">
        <v>206</v>
      </c>
      <c r="E460" t="s">
        <v>11</v>
      </c>
      <c r="F460" t="s">
        <v>136</v>
      </c>
      <c r="G460" t="s">
        <v>124</v>
      </c>
      <c r="H460">
        <v>2</v>
      </c>
      <c r="I460">
        <v>2248</v>
      </c>
      <c r="J460">
        <v>4496</v>
      </c>
    </row>
    <row r="461" spans="1:10" x14ac:dyDescent="0.3">
      <c r="A461">
        <v>1124</v>
      </c>
      <c r="B461" t="s">
        <v>68</v>
      </c>
      <c r="C461" t="str">
        <f>TEXT(Sales[[#This Row],[Order_Date]],"mmm")</f>
        <v>Dec</v>
      </c>
      <c r="D461" t="s">
        <v>82</v>
      </c>
      <c r="E461" t="s">
        <v>42</v>
      </c>
      <c r="F461" t="s">
        <v>136</v>
      </c>
      <c r="G461" t="s">
        <v>46</v>
      </c>
      <c r="H461">
        <v>2</v>
      </c>
      <c r="I461">
        <v>3975</v>
      </c>
      <c r="J461">
        <v>7950</v>
      </c>
    </row>
    <row r="462" spans="1:10" x14ac:dyDescent="0.3">
      <c r="A462">
        <v>1213</v>
      </c>
      <c r="B462" t="s">
        <v>465</v>
      </c>
      <c r="C462" t="str">
        <f>TEXT(Sales[[#This Row],[Order_Date]],"mmm")</f>
        <v>Aug</v>
      </c>
      <c r="D462" t="s">
        <v>276</v>
      </c>
      <c r="E462" t="s">
        <v>42</v>
      </c>
      <c r="F462" t="s">
        <v>89</v>
      </c>
      <c r="G462" t="s">
        <v>95</v>
      </c>
      <c r="H462">
        <v>5</v>
      </c>
      <c r="I462">
        <v>4467</v>
      </c>
      <c r="J462">
        <v>22335</v>
      </c>
    </row>
    <row r="463" spans="1:10" x14ac:dyDescent="0.3">
      <c r="A463">
        <v>1305</v>
      </c>
      <c r="B463" t="s">
        <v>337</v>
      </c>
      <c r="C463" t="str">
        <f>TEXT(Sales[[#This Row],[Order_Date]],"mmm")</f>
        <v>Apr</v>
      </c>
      <c r="D463" t="s">
        <v>512</v>
      </c>
      <c r="E463" t="s">
        <v>16</v>
      </c>
      <c r="F463" t="s">
        <v>83</v>
      </c>
      <c r="G463" t="s">
        <v>657</v>
      </c>
      <c r="H463">
        <v>4</v>
      </c>
      <c r="I463">
        <v>2858</v>
      </c>
      <c r="J463">
        <v>11432</v>
      </c>
    </row>
    <row r="464" spans="1:10" x14ac:dyDescent="0.3">
      <c r="A464">
        <v>1598</v>
      </c>
      <c r="B464" t="s">
        <v>535</v>
      </c>
      <c r="C464" t="str">
        <f>TEXT(Sales[[#This Row],[Order_Date]],"mmm")</f>
        <v>Mar</v>
      </c>
      <c r="D464" t="s">
        <v>260</v>
      </c>
      <c r="E464" t="s">
        <v>16</v>
      </c>
      <c r="F464" t="s">
        <v>17</v>
      </c>
      <c r="G464" t="s">
        <v>72</v>
      </c>
      <c r="H464">
        <v>5</v>
      </c>
      <c r="I464">
        <v>1469</v>
      </c>
      <c r="J464">
        <v>7345</v>
      </c>
    </row>
    <row r="465" spans="1:10" x14ac:dyDescent="0.3">
      <c r="A465">
        <v>1161</v>
      </c>
      <c r="B465" t="s">
        <v>536</v>
      </c>
      <c r="C465" t="str">
        <f>TEXT(Sales[[#This Row],[Order_Date]],"mmm")</f>
        <v>Sep</v>
      </c>
      <c r="D465" t="s">
        <v>247</v>
      </c>
      <c r="E465" t="s">
        <v>25</v>
      </c>
      <c r="F465" t="s">
        <v>89</v>
      </c>
      <c r="G465" t="s">
        <v>27</v>
      </c>
      <c r="H465">
        <v>2</v>
      </c>
      <c r="I465">
        <v>4593</v>
      </c>
      <c r="J465">
        <v>9186</v>
      </c>
    </row>
    <row r="466" spans="1:10" x14ac:dyDescent="0.3">
      <c r="A466">
        <v>1238</v>
      </c>
      <c r="B466" t="s">
        <v>209</v>
      </c>
      <c r="C466" t="str">
        <f>TEXT(Sales[[#This Row],[Order_Date]],"mmm")</f>
        <v>Jun</v>
      </c>
      <c r="D466" t="s">
        <v>139</v>
      </c>
      <c r="E466" t="s">
        <v>42</v>
      </c>
      <c r="F466" t="s">
        <v>89</v>
      </c>
      <c r="G466" t="s">
        <v>75</v>
      </c>
      <c r="H466">
        <v>4</v>
      </c>
      <c r="I466">
        <v>3134</v>
      </c>
      <c r="J466">
        <v>12536</v>
      </c>
    </row>
    <row r="467" spans="1:10" x14ac:dyDescent="0.3">
      <c r="A467">
        <v>1040</v>
      </c>
      <c r="B467" t="s">
        <v>408</v>
      </c>
      <c r="C467" t="str">
        <f>TEXT(Sales[[#This Row],[Order_Date]],"mmm")</f>
        <v>Sep</v>
      </c>
      <c r="D467" t="s">
        <v>537</v>
      </c>
      <c r="E467" t="s">
        <v>16</v>
      </c>
      <c r="F467" t="s">
        <v>136</v>
      </c>
      <c r="G467" t="s">
        <v>67</v>
      </c>
      <c r="H467">
        <v>2</v>
      </c>
      <c r="I467">
        <v>4842</v>
      </c>
      <c r="J467">
        <v>9684</v>
      </c>
    </row>
    <row r="468" spans="1:10" x14ac:dyDescent="0.3">
      <c r="A468">
        <v>1479</v>
      </c>
      <c r="B468" t="s">
        <v>270</v>
      </c>
      <c r="C468" t="str">
        <f>TEXT(Sales[[#This Row],[Order_Date]],"mmm")</f>
        <v>May</v>
      </c>
      <c r="D468" t="s">
        <v>538</v>
      </c>
      <c r="E468" t="s">
        <v>16</v>
      </c>
      <c r="F468" t="s">
        <v>17</v>
      </c>
      <c r="G468" t="s">
        <v>72</v>
      </c>
      <c r="H468">
        <v>3</v>
      </c>
      <c r="I468">
        <v>2357</v>
      </c>
      <c r="J468">
        <v>7071</v>
      </c>
    </row>
    <row r="469" spans="1:10" x14ac:dyDescent="0.3">
      <c r="A469">
        <v>1518</v>
      </c>
      <c r="B469" t="s">
        <v>475</v>
      </c>
      <c r="C469" t="str">
        <f>TEXT(Sales[[#This Row],[Order_Date]],"mmm")</f>
        <v>Jul</v>
      </c>
      <c r="D469" t="s">
        <v>539</v>
      </c>
      <c r="E469" t="s">
        <v>16</v>
      </c>
      <c r="F469" t="s">
        <v>17</v>
      </c>
      <c r="G469" t="s">
        <v>72</v>
      </c>
      <c r="H469">
        <v>3</v>
      </c>
      <c r="I469">
        <v>718</v>
      </c>
      <c r="J469">
        <v>2154</v>
      </c>
    </row>
    <row r="470" spans="1:10" x14ac:dyDescent="0.3">
      <c r="A470">
        <v>1396</v>
      </c>
      <c r="B470" t="s">
        <v>76</v>
      </c>
      <c r="C470" t="str">
        <f>TEXT(Sales[[#This Row],[Order_Date]],"mmm")</f>
        <v>Apr</v>
      </c>
      <c r="D470" t="s">
        <v>472</v>
      </c>
      <c r="E470" t="s">
        <v>42</v>
      </c>
      <c r="F470" t="s">
        <v>136</v>
      </c>
      <c r="G470" t="s">
        <v>67</v>
      </c>
      <c r="H470">
        <v>3</v>
      </c>
      <c r="I470">
        <v>3557</v>
      </c>
      <c r="J470">
        <v>10671</v>
      </c>
    </row>
    <row r="471" spans="1:10" x14ac:dyDescent="0.3">
      <c r="A471">
        <v>1535</v>
      </c>
      <c r="B471" t="s">
        <v>131</v>
      </c>
      <c r="C471" t="str">
        <f>TEXT(Sales[[#This Row],[Order_Date]],"mmm")</f>
        <v>Dec</v>
      </c>
      <c r="D471" t="s">
        <v>91</v>
      </c>
      <c r="E471" t="s">
        <v>42</v>
      </c>
      <c r="F471" t="s">
        <v>83</v>
      </c>
      <c r="G471" t="s">
        <v>93</v>
      </c>
      <c r="H471">
        <v>2</v>
      </c>
      <c r="I471">
        <v>1076</v>
      </c>
      <c r="J471">
        <v>2152</v>
      </c>
    </row>
    <row r="472" spans="1:10" x14ac:dyDescent="0.3">
      <c r="A472">
        <v>1584</v>
      </c>
      <c r="B472" t="s">
        <v>456</v>
      </c>
      <c r="C472" t="str">
        <f>TEXT(Sales[[#This Row],[Order_Date]],"mmm")</f>
        <v>Nov</v>
      </c>
      <c r="D472" t="s">
        <v>463</v>
      </c>
      <c r="E472" t="s">
        <v>42</v>
      </c>
      <c r="F472" t="s">
        <v>136</v>
      </c>
      <c r="G472" t="s">
        <v>46</v>
      </c>
      <c r="H472">
        <v>3</v>
      </c>
      <c r="I472">
        <v>2008</v>
      </c>
      <c r="J472">
        <v>6024</v>
      </c>
    </row>
    <row r="473" spans="1:10" x14ac:dyDescent="0.3">
      <c r="A473">
        <v>1213</v>
      </c>
      <c r="B473" t="s">
        <v>540</v>
      </c>
      <c r="C473" t="str">
        <f>TEXT(Sales[[#This Row],[Order_Date]],"mmm")</f>
        <v>Dec</v>
      </c>
      <c r="D473" t="s">
        <v>169</v>
      </c>
      <c r="E473" t="s">
        <v>25</v>
      </c>
      <c r="F473" t="s">
        <v>83</v>
      </c>
      <c r="G473" t="s">
        <v>78</v>
      </c>
      <c r="H473">
        <v>5</v>
      </c>
      <c r="I473">
        <v>3607</v>
      </c>
      <c r="J473">
        <v>18035</v>
      </c>
    </row>
    <row r="474" spans="1:10" x14ac:dyDescent="0.3">
      <c r="A474">
        <v>1059</v>
      </c>
      <c r="B474" t="s">
        <v>332</v>
      </c>
      <c r="C474" t="str">
        <f>TEXT(Sales[[#This Row],[Order_Date]],"mmm")</f>
        <v>Nov</v>
      </c>
      <c r="D474" t="s">
        <v>206</v>
      </c>
      <c r="E474" t="s">
        <v>25</v>
      </c>
      <c r="F474" t="s">
        <v>83</v>
      </c>
      <c r="G474" t="s">
        <v>32</v>
      </c>
      <c r="H474">
        <v>2</v>
      </c>
      <c r="I474">
        <v>4455</v>
      </c>
      <c r="J474">
        <v>8910</v>
      </c>
    </row>
    <row r="475" spans="1:10" x14ac:dyDescent="0.3">
      <c r="A475">
        <v>1544</v>
      </c>
      <c r="B475" t="s">
        <v>392</v>
      </c>
      <c r="C475" t="str">
        <f>TEXT(Sales[[#This Row],[Order_Date]],"mmm")</f>
        <v>Jul</v>
      </c>
      <c r="D475" t="s">
        <v>375</v>
      </c>
      <c r="E475" t="s">
        <v>11</v>
      </c>
      <c r="F475" t="s">
        <v>17</v>
      </c>
      <c r="G475" t="s">
        <v>18</v>
      </c>
      <c r="H475">
        <v>5</v>
      </c>
      <c r="I475">
        <v>4772</v>
      </c>
      <c r="J475">
        <v>23860</v>
      </c>
    </row>
    <row r="476" spans="1:10" x14ac:dyDescent="0.3">
      <c r="A476">
        <v>1590</v>
      </c>
      <c r="B476" t="s">
        <v>541</v>
      </c>
      <c r="C476" t="str">
        <f>TEXT(Sales[[#This Row],[Order_Date]],"mmm")</f>
        <v>Jul</v>
      </c>
      <c r="D476" t="s">
        <v>542</v>
      </c>
      <c r="E476" t="s">
        <v>11</v>
      </c>
      <c r="F476" t="s">
        <v>136</v>
      </c>
      <c r="G476" t="s">
        <v>46</v>
      </c>
      <c r="H476">
        <v>2</v>
      </c>
      <c r="I476">
        <v>4705</v>
      </c>
      <c r="J476">
        <v>9410</v>
      </c>
    </row>
    <row r="477" spans="1:10" x14ac:dyDescent="0.3">
      <c r="A477">
        <v>1161</v>
      </c>
      <c r="B477" t="s">
        <v>376</v>
      </c>
      <c r="C477" t="str">
        <f>TEXT(Sales[[#This Row],[Order_Date]],"mmm")</f>
        <v>Sep</v>
      </c>
      <c r="D477" t="s">
        <v>256</v>
      </c>
      <c r="E477" t="s">
        <v>25</v>
      </c>
      <c r="F477" t="s">
        <v>136</v>
      </c>
      <c r="G477" t="s">
        <v>22</v>
      </c>
      <c r="H477">
        <v>3</v>
      </c>
      <c r="I477">
        <v>3577</v>
      </c>
      <c r="J477">
        <v>10731</v>
      </c>
    </row>
    <row r="478" spans="1:10" x14ac:dyDescent="0.3">
      <c r="A478">
        <v>1331</v>
      </c>
      <c r="B478" t="s">
        <v>37</v>
      </c>
      <c r="C478" t="str">
        <f>TEXT(Sales[[#This Row],[Order_Date]],"mmm")</f>
        <v>Nov</v>
      </c>
      <c r="D478" t="s">
        <v>331</v>
      </c>
      <c r="E478" t="s">
        <v>657</v>
      </c>
      <c r="F478" t="s">
        <v>17</v>
      </c>
      <c r="G478" t="s">
        <v>53</v>
      </c>
      <c r="H478">
        <v>4</v>
      </c>
      <c r="I478">
        <v>3865</v>
      </c>
      <c r="J478">
        <v>15460</v>
      </c>
    </row>
    <row r="479" spans="1:10" x14ac:dyDescent="0.3">
      <c r="A479">
        <v>1035</v>
      </c>
      <c r="B479" t="s">
        <v>353</v>
      </c>
      <c r="C479" t="str">
        <f>TEXT(Sales[[#This Row],[Order_Date]],"mmm")</f>
        <v>May</v>
      </c>
      <c r="D479" t="s">
        <v>189</v>
      </c>
      <c r="E479" t="s">
        <v>42</v>
      </c>
      <c r="F479" t="s">
        <v>83</v>
      </c>
      <c r="G479" t="s">
        <v>57</v>
      </c>
      <c r="H479">
        <v>1</v>
      </c>
      <c r="I479">
        <v>2660</v>
      </c>
      <c r="J479">
        <v>2660</v>
      </c>
    </row>
    <row r="480" spans="1:10" x14ac:dyDescent="0.3">
      <c r="A480">
        <v>1322</v>
      </c>
      <c r="B480" t="s">
        <v>401</v>
      </c>
      <c r="C480" t="str">
        <f>TEXT(Sales[[#This Row],[Order_Date]],"mmm")</f>
        <v>Jan</v>
      </c>
      <c r="D480" t="s">
        <v>284</v>
      </c>
      <c r="E480" t="s">
        <v>25</v>
      </c>
      <c r="F480" t="s">
        <v>89</v>
      </c>
      <c r="G480" t="s">
        <v>133</v>
      </c>
      <c r="H480">
        <v>1</v>
      </c>
      <c r="I480">
        <v>3971</v>
      </c>
      <c r="J480">
        <v>3971</v>
      </c>
    </row>
    <row r="481" spans="1:10" x14ac:dyDescent="0.3">
      <c r="A481">
        <v>1375</v>
      </c>
      <c r="B481" t="s">
        <v>358</v>
      </c>
      <c r="C481" t="str">
        <f>TEXT(Sales[[#This Row],[Order_Date]],"mmm")</f>
        <v>Oct</v>
      </c>
      <c r="D481" t="s">
        <v>82</v>
      </c>
      <c r="E481" t="s">
        <v>25</v>
      </c>
      <c r="F481" t="s">
        <v>17</v>
      </c>
      <c r="G481" t="s">
        <v>101</v>
      </c>
      <c r="H481">
        <v>5</v>
      </c>
      <c r="I481">
        <v>3475</v>
      </c>
      <c r="J481">
        <v>17375</v>
      </c>
    </row>
    <row r="482" spans="1:10" x14ac:dyDescent="0.3">
      <c r="A482">
        <v>1079</v>
      </c>
      <c r="B482" t="s">
        <v>459</v>
      </c>
      <c r="C482" t="str">
        <f>TEXT(Sales[[#This Row],[Order_Date]],"mmm")</f>
        <v>Jun</v>
      </c>
      <c r="D482" t="s">
        <v>420</v>
      </c>
      <c r="E482" t="s">
        <v>25</v>
      </c>
      <c r="F482" t="s">
        <v>136</v>
      </c>
      <c r="G482" t="s">
        <v>128</v>
      </c>
      <c r="H482">
        <v>5</v>
      </c>
      <c r="I482">
        <v>2660</v>
      </c>
      <c r="J482">
        <v>13300</v>
      </c>
    </row>
    <row r="483" spans="1:10" x14ac:dyDescent="0.3">
      <c r="A483">
        <v>1390</v>
      </c>
      <c r="B483" t="s">
        <v>458</v>
      </c>
      <c r="C483" t="str">
        <f>TEXT(Sales[[#This Row],[Order_Date]],"mmm")</f>
        <v>Feb</v>
      </c>
      <c r="D483" t="s">
        <v>241</v>
      </c>
      <c r="E483" t="s">
        <v>11</v>
      </c>
      <c r="F483" t="s">
        <v>83</v>
      </c>
      <c r="G483" t="s">
        <v>112</v>
      </c>
      <c r="H483">
        <v>4</v>
      </c>
      <c r="I483">
        <v>1187</v>
      </c>
      <c r="J483">
        <v>4748</v>
      </c>
    </row>
    <row r="484" spans="1:10" x14ac:dyDescent="0.3">
      <c r="A484">
        <v>1011</v>
      </c>
      <c r="B484" t="s">
        <v>509</v>
      </c>
      <c r="C484" t="str">
        <f>TEXT(Sales[[#This Row],[Order_Date]],"mmm")</f>
        <v>Nov</v>
      </c>
      <c r="D484" t="s">
        <v>241</v>
      </c>
      <c r="E484" t="s">
        <v>42</v>
      </c>
      <c r="F484" t="s">
        <v>136</v>
      </c>
      <c r="G484" t="s">
        <v>124</v>
      </c>
      <c r="H484">
        <v>3</v>
      </c>
      <c r="I484">
        <v>4623</v>
      </c>
      <c r="J484">
        <v>13869</v>
      </c>
    </row>
    <row r="485" spans="1:10" x14ac:dyDescent="0.3">
      <c r="A485">
        <v>1226</v>
      </c>
      <c r="B485" t="s">
        <v>50</v>
      </c>
      <c r="C485" t="str">
        <f>TEXT(Sales[[#This Row],[Order_Date]],"mmm")</f>
        <v>Mar</v>
      </c>
      <c r="D485" t="s">
        <v>485</v>
      </c>
      <c r="E485" t="s">
        <v>16</v>
      </c>
      <c r="F485" t="s">
        <v>136</v>
      </c>
      <c r="G485" t="s">
        <v>46</v>
      </c>
      <c r="H485">
        <v>4</v>
      </c>
      <c r="I485">
        <v>2573</v>
      </c>
      <c r="J485">
        <v>10292</v>
      </c>
    </row>
    <row r="486" spans="1:10" x14ac:dyDescent="0.3">
      <c r="A486">
        <v>1344</v>
      </c>
      <c r="B486" t="s">
        <v>410</v>
      </c>
      <c r="C486" t="str">
        <f>TEXT(Sales[[#This Row],[Order_Date]],"mmm")</f>
        <v>Feb</v>
      </c>
      <c r="D486" t="s">
        <v>342</v>
      </c>
      <c r="E486" t="s">
        <v>42</v>
      </c>
      <c r="F486" t="s">
        <v>83</v>
      </c>
      <c r="G486" t="s">
        <v>57</v>
      </c>
      <c r="H486">
        <v>1</v>
      </c>
      <c r="I486">
        <v>3464</v>
      </c>
      <c r="J486">
        <v>3464</v>
      </c>
    </row>
    <row r="487" spans="1:10" x14ac:dyDescent="0.3">
      <c r="A487">
        <v>1133</v>
      </c>
      <c r="B487" t="s">
        <v>543</v>
      </c>
      <c r="C487" t="str">
        <f>TEXT(Sales[[#This Row],[Order_Date]],"mmm")</f>
        <v>Mar</v>
      </c>
      <c r="D487" t="s">
        <v>544</v>
      </c>
      <c r="E487" t="s">
        <v>16</v>
      </c>
      <c r="F487" t="s">
        <v>17</v>
      </c>
      <c r="G487" t="s">
        <v>53</v>
      </c>
      <c r="H487">
        <v>5</v>
      </c>
      <c r="I487">
        <v>4494</v>
      </c>
      <c r="J487">
        <v>22470</v>
      </c>
    </row>
    <row r="488" spans="1:10" x14ac:dyDescent="0.3">
      <c r="A488">
        <v>1440</v>
      </c>
      <c r="B488" t="s">
        <v>448</v>
      </c>
      <c r="C488" t="str">
        <f>TEXT(Sales[[#This Row],[Order_Date]],"mmm")</f>
        <v>Jun</v>
      </c>
      <c r="D488" t="s">
        <v>41</v>
      </c>
      <c r="E488" t="s">
        <v>11</v>
      </c>
      <c r="F488" t="s">
        <v>83</v>
      </c>
      <c r="G488" t="s">
        <v>32</v>
      </c>
      <c r="H488">
        <v>3</v>
      </c>
      <c r="I488">
        <v>3053</v>
      </c>
      <c r="J488">
        <v>9159</v>
      </c>
    </row>
    <row r="489" spans="1:10" x14ac:dyDescent="0.3">
      <c r="A489">
        <v>1024</v>
      </c>
      <c r="B489" t="s">
        <v>170</v>
      </c>
      <c r="C489" t="str">
        <f>TEXT(Sales[[#This Row],[Order_Date]],"mmm")</f>
        <v>Jun</v>
      </c>
      <c r="D489" t="s">
        <v>385</v>
      </c>
      <c r="E489" t="s">
        <v>11</v>
      </c>
      <c r="F489" t="s">
        <v>89</v>
      </c>
      <c r="G489" t="s">
        <v>133</v>
      </c>
      <c r="H489">
        <v>4</v>
      </c>
      <c r="I489">
        <v>567</v>
      </c>
      <c r="J489">
        <v>2268</v>
      </c>
    </row>
    <row r="490" spans="1:10" x14ac:dyDescent="0.3">
      <c r="A490">
        <v>1382</v>
      </c>
      <c r="B490" t="s">
        <v>545</v>
      </c>
      <c r="C490" t="str">
        <f>TEXT(Sales[[#This Row],[Order_Date]],"mmm")</f>
        <v>Mar</v>
      </c>
      <c r="D490" t="s">
        <v>224</v>
      </c>
      <c r="E490" t="s">
        <v>16</v>
      </c>
      <c r="F490" t="s">
        <v>83</v>
      </c>
      <c r="G490" t="s">
        <v>32</v>
      </c>
      <c r="H490">
        <v>5</v>
      </c>
      <c r="I490">
        <v>1409</v>
      </c>
      <c r="J490">
        <v>7045</v>
      </c>
    </row>
    <row r="491" spans="1:10" x14ac:dyDescent="0.3">
      <c r="A491">
        <v>1014</v>
      </c>
      <c r="B491" t="s">
        <v>546</v>
      </c>
      <c r="C491" t="str">
        <f>TEXT(Sales[[#This Row],[Order_Date]],"mmm")</f>
        <v>Jun</v>
      </c>
      <c r="D491" t="s">
        <v>547</v>
      </c>
      <c r="E491" t="s">
        <v>16</v>
      </c>
      <c r="F491" t="s">
        <v>83</v>
      </c>
      <c r="G491" t="s">
        <v>112</v>
      </c>
      <c r="H491">
        <v>1</v>
      </c>
      <c r="I491">
        <v>2918</v>
      </c>
      <c r="J491">
        <v>2918</v>
      </c>
    </row>
    <row r="492" spans="1:10" x14ac:dyDescent="0.3">
      <c r="A492">
        <v>1208</v>
      </c>
      <c r="B492" t="s">
        <v>380</v>
      </c>
      <c r="C492" t="str">
        <f>TEXT(Sales[[#This Row],[Order_Date]],"mmm")</f>
        <v>Oct</v>
      </c>
      <c r="D492" t="s">
        <v>488</v>
      </c>
      <c r="E492" t="s">
        <v>11</v>
      </c>
      <c r="F492" t="s">
        <v>89</v>
      </c>
      <c r="G492" t="s">
        <v>133</v>
      </c>
      <c r="H492">
        <v>1</v>
      </c>
      <c r="I492">
        <v>3285</v>
      </c>
      <c r="J492">
        <v>3285</v>
      </c>
    </row>
    <row r="493" spans="1:10" x14ac:dyDescent="0.3">
      <c r="A493">
        <v>1044</v>
      </c>
      <c r="B493" t="s">
        <v>122</v>
      </c>
      <c r="C493" t="str">
        <f>TEXT(Sales[[#This Row],[Order_Date]],"mmm")</f>
        <v>May</v>
      </c>
      <c r="D493" t="s">
        <v>385</v>
      </c>
      <c r="E493" t="s">
        <v>657</v>
      </c>
      <c r="F493" t="s">
        <v>83</v>
      </c>
      <c r="G493" t="s">
        <v>112</v>
      </c>
      <c r="H493">
        <v>1</v>
      </c>
      <c r="I493">
        <v>4008</v>
      </c>
      <c r="J493">
        <v>4008</v>
      </c>
    </row>
    <row r="494" spans="1:10" x14ac:dyDescent="0.3">
      <c r="A494">
        <v>1397</v>
      </c>
      <c r="B494" t="s">
        <v>468</v>
      </c>
      <c r="C494" t="str">
        <f>TEXT(Sales[[#This Row],[Order_Date]],"mmm")</f>
        <v>Dec</v>
      </c>
      <c r="D494" t="s">
        <v>548</v>
      </c>
      <c r="E494" t="s">
        <v>42</v>
      </c>
      <c r="F494" t="s">
        <v>89</v>
      </c>
      <c r="G494" t="s">
        <v>27</v>
      </c>
      <c r="H494">
        <v>4</v>
      </c>
      <c r="I494">
        <v>2093</v>
      </c>
      <c r="J494">
        <v>8372</v>
      </c>
    </row>
    <row r="495" spans="1:10" x14ac:dyDescent="0.3">
      <c r="A495">
        <v>1101</v>
      </c>
      <c r="B495" t="s">
        <v>43</v>
      </c>
      <c r="C495" t="str">
        <f>TEXT(Sales[[#This Row],[Order_Date]],"mmm")</f>
        <v>Jun</v>
      </c>
      <c r="D495" t="s">
        <v>144</v>
      </c>
      <c r="E495" t="s">
        <v>16</v>
      </c>
      <c r="F495" t="s">
        <v>83</v>
      </c>
      <c r="G495" t="s">
        <v>93</v>
      </c>
      <c r="H495">
        <v>5</v>
      </c>
      <c r="I495">
        <v>376</v>
      </c>
      <c r="J495">
        <v>1880</v>
      </c>
    </row>
    <row r="496" spans="1:10" x14ac:dyDescent="0.3">
      <c r="A496">
        <v>1312</v>
      </c>
      <c r="B496" t="s">
        <v>549</v>
      </c>
      <c r="C496" t="str">
        <f>TEXT(Sales[[#This Row],[Order_Date]],"mmm")</f>
        <v>Jun</v>
      </c>
      <c r="D496" t="s">
        <v>169</v>
      </c>
      <c r="E496" t="s">
        <v>25</v>
      </c>
      <c r="F496" t="s">
        <v>136</v>
      </c>
      <c r="G496" t="s">
        <v>128</v>
      </c>
      <c r="H496">
        <v>3</v>
      </c>
      <c r="I496">
        <v>3111</v>
      </c>
      <c r="J496">
        <v>9333</v>
      </c>
    </row>
    <row r="497" spans="1:10" x14ac:dyDescent="0.3">
      <c r="A497">
        <v>1513</v>
      </c>
      <c r="B497" t="s">
        <v>237</v>
      </c>
      <c r="C497" t="str">
        <f>TEXT(Sales[[#This Row],[Order_Date]],"mmm")</f>
        <v>May</v>
      </c>
      <c r="D497" t="s">
        <v>368</v>
      </c>
      <c r="E497" t="s">
        <v>42</v>
      </c>
      <c r="F497" t="s">
        <v>83</v>
      </c>
      <c r="G497" t="s">
        <v>112</v>
      </c>
      <c r="H497">
        <v>5</v>
      </c>
      <c r="I497">
        <v>2495</v>
      </c>
      <c r="J497">
        <v>12475</v>
      </c>
    </row>
    <row r="498" spans="1:10" x14ac:dyDescent="0.3">
      <c r="A498">
        <v>1402</v>
      </c>
      <c r="B498" t="s">
        <v>299</v>
      </c>
      <c r="C498" t="str">
        <f>TEXT(Sales[[#This Row],[Order_Date]],"mmm")</f>
        <v>Dec</v>
      </c>
      <c r="D498" t="s">
        <v>146</v>
      </c>
      <c r="E498" t="s">
        <v>11</v>
      </c>
      <c r="F498" t="s">
        <v>83</v>
      </c>
      <c r="G498" t="s">
        <v>78</v>
      </c>
      <c r="H498">
        <v>2</v>
      </c>
      <c r="I498">
        <v>4893</v>
      </c>
      <c r="J498">
        <v>9786</v>
      </c>
    </row>
    <row r="499" spans="1:10" x14ac:dyDescent="0.3">
      <c r="A499">
        <v>1337</v>
      </c>
      <c r="B499" t="s">
        <v>240</v>
      </c>
      <c r="C499" t="str">
        <f>TEXT(Sales[[#This Row],[Order_Date]],"mmm")</f>
        <v>Aug</v>
      </c>
      <c r="D499" t="s">
        <v>550</v>
      </c>
      <c r="E499" t="s">
        <v>16</v>
      </c>
      <c r="F499" t="s">
        <v>17</v>
      </c>
      <c r="G499" t="s">
        <v>114</v>
      </c>
      <c r="H499">
        <v>2</v>
      </c>
      <c r="I499">
        <v>2731</v>
      </c>
      <c r="J499">
        <v>5462</v>
      </c>
    </row>
    <row r="500" spans="1:10" x14ac:dyDescent="0.3">
      <c r="A500">
        <v>1138</v>
      </c>
      <c r="B500" t="s">
        <v>306</v>
      </c>
      <c r="C500" t="str">
        <f>TEXT(Sales[[#This Row],[Order_Date]],"mmm")</f>
        <v>Aug</v>
      </c>
      <c r="D500" t="s">
        <v>274</v>
      </c>
      <c r="E500" t="s">
        <v>25</v>
      </c>
      <c r="F500" t="s">
        <v>17</v>
      </c>
      <c r="G500" t="s">
        <v>18</v>
      </c>
      <c r="H500">
        <v>1</v>
      </c>
      <c r="I500">
        <v>4765</v>
      </c>
      <c r="J500">
        <v>4765</v>
      </c>
    </row>
    <row r="501" spans="1:10" x14ac:dyDescent="0.3">
      <c r="A501">
        <v>1188</v>
      </c>
      <c r="B501" t="s">
        <v>209</v>
      </c>
      <c r="C501" t="str">
        <f>TEXT(Sales[[#This Row],[Order_Date]],"mmm")</f>
        <v>Jun</v>
      </c>
      <c r="D501" t="s">
        <v>463</v>
      </c>
      <c r="E501" t="s">
        <v>11</v>
      </c>
      <c r="F501" t="s">
        <v>17</v>
      </c>
      <c r="G501" t="s">
        <v>72</v>
      </c>
      <c r="H501">
        <v>4</v>
      </c>
      <c r="I501">
        <v>2685</v>
      </c>
      <c r="J501">
        <v>10740</v>
      </c>
    </row>
    <row r="502" spans="1:10" x14ac:dyDescent="0.3">
      <c r="A502">
        <v>1280</v>
      </c>
      <c r="B502" t="s">
        <v>551</v>
      </c>
      <c r="C502" t="str">
        <f>TEXT(Sales[[#This Row],[Order_Date]],"mmm")</f>
        <v>Mar</v>
      </c>
      <c r="D502" t="s">
        <v>241</v>
      </c>
      <c r="E502" t="s">
        <v>11</v>
      </c>
      <c r="F502" t="s">
        <v>17</v>
      </c>
      <c r="G502" t="s">
        <v>72</v>
      </c>
      <c r="H502">
        <v>1</v>
      </c>
      <c r="I502">
        <v>2386</v>
      </c>
      <c r="J502">
        <v>2386</v>
      </c>
    </row>
    <row r="503" spans="1:10" x14ac:dyDescent="0.3">
      <c r="A503">
        <v>1237</v>
      </c>
      <c r="B503" t="s">
        <v>552</v>
      </c>
      <c r="C503" t="str">
        <f>TEXT(Sales[[#This Row],[Order_Date]],"mmm")</f>
        <v>Apr</v>
      </c>
      <c r="D503" t="s">
        <v>41</v>
      </c>
      <c r="E503" t="s">
        <v>16</v>
      </c>
      <c r="F503" t="s">
        <v>83</v>
      </c>
      <c r="G503" t="s">
        <v>112</v>
      </c>
      <c r="H503">
        <v>2</v>
      </c>
      <c r="I503">
        <v>4315</v>
      </c>
      <c r="J503">
        <v>8630</v>
      </c>
    </row>
    <row r="504" spans="1:10" x14ac:dyDescent="0.3">
      <c r="A504">
        <v>1382</v>
      </c>
      <c r="B504" t="s">
        <v>553</v>
      </c>
      <c r="C504" t="str">
        <f>TEXT(Sales[[#This Row],[Order_Date]],"mmm")</f>
        <v>Apr</v>
      </c>
      <c r="D504" t="s">
        <v>150</v>
      </c>
      <c r="E504" t="s">
        <v>11</v>
      </c>
      <c r="F504" t="s">
        <v>136</v>
      </c>
      <c r="G504" t="s">
        <v>46</v>
      </c>
      <c r="H504">
        <v>2</v>
      </c>
      <c r="I504">
        <v>1783</v>
      </c>
      <c r="J504">
        <v>3566</v>
      </c>
    </row>
    <row r="505" spans="1:10" x14ac:dyDescent="0.3">
      <c r="A505">
        <v>1015</v>
      </c>
      <c r="B505" t="s">
        <v>476</v>
      </c>
      <c r="C505" t="str">
        <f>TEXT(Sales[[#This Row],[Order_Date]],"mmm")</f>
        <v>May</v>
      </c>
      <c r="D505" t="s">
        <v>193</v>
      </c>
      <c r="E505" t="s">
        <v>16</v>
      </c>
      <c r="F505" t="s">
        <v>136</v>
      </c>
      <c r="G505" t="s">
        <v>128</v>
      </c>
      <c r="H505">
        <v>1</v>
      </c>
      <c r="I505">
        <v>1650</v>
      </c>
      <c r="J505">
        <v>1650</v>
      </c>
    </row>
    <row r="506" spans="1:10" x14ac:dyDescent="0.3">
      <c r="A506">
        <v>1501</v>
      </c>
      <c r="B506" t="s">
        <v>554</v>
      </c>
      <c r="C506" t="str">
        <f>TEXT(Sales[[#This Row],[Order_Date]],"mmm")</f>
        <v>Dec</v>
      </c>
      <c r="D506" t="s">
        <v>226</v>
      </c>
      <c r="E506" t="s">
        <v>11</v>
      </c>
      <c r="F506" t="s">
        <v>136</v>
      </c>
      <c r="G506" t="s">
        <v>128</v>
      </c>
      <c r="H506">
        <v>1</v>
      </c>
      <c r="I506">
        <v>3316</v>
      </c>
      <c r="J506">
        <v>3316</v>
      </c>
    </row>
    <row r="507" spans="1:10" x14ac:dyDescent="0.3">
      <c r="A507">
        <v>1585</v>
      </c>
      <c r="B507" t="s">
        <v>555</v>
      </c>
      <c r="C507" t="str">
        <f>TEXT(Sales[[#This Row],[Order_Date]],"mmm")</f>
        <v>Oct</v>
      </c>
      <c r="D507" t="s">
        <v>365</v>
      </c>
      <c r="E507" t="s">
        <v>16</v>
      </c>
      <c r="F507" t="s">
        <v>83</v>
      </c>
      <c r="G507" t="s">
        <v>57</v>
      </c>
      <c r="H507">
        <v>4</v>
      </c>
      <c r="I507">
        <v>547</v>
      </c>
      <c r="J507">
        <v>2188</v>
      </c>
    </row>
    <row r="508" spans="1:10" x14ac:dyDescent="0.3">
      <c r="A508">
        <v>1550</v>
      </c>
      <c r="B508" t="s">
        <v>255</v>
      </c>
      <c r="C508" t="str">
        <f>TEXT(Sales[[#This Row],[Order_Date]],"mmm")</f>
        <v>Jul</v>
      </c>
      <c r="D508" t="s">
        <v>314</v>
      </c>
      <c r="E508" t="s">
        <v>42</v>
      </c>
      <c r="F508" t="s">
        <v>83</v>
      </c>
      <c r="G508" t="s">
        <v>57</v>
      </c>
      <c r="H508">
        <v>2</v>
      </c>
      <c r="I508">
        <v>2585</v>
      </c>
      <c r="J508">
        <v>5170</v>
      </c>
    </row>
    <row r="509" spans="1:10" x14ac:dyDescent="0.3">
      <c r="A509">
        <v>1292</v>
      </c>
      <c r="B509" t="s">
        <v>81</v>
      </c>
      <c r="C509" t="str">
        <f>TEXT(Sales[[#This Row],[Order_Date]],"mmm")</f>
        <v>Aug</v>
      </c>
      <c r="D509" t="s">
        <v>218</v>
      </c>
      <c r="E509" t="s">
        <v>11</v>
      </c>
      <c r="F509" t="s">
        <v>136</v>
      </c>
      <c r="G509" t="s">
        <v>22</v>
      </c>
      <c r="H509">
        <v>4</v>
      </c>
      <c r="I509">
        <v>3900</v>
      </c>
      <c r="J509">
        <v>15600</v>
      </c>
    </row>
    <row r="510" spans="1:10" x14ac:dyDescent="0.3">
      <c r="A510">
        <v>1184</v>
      </c>
      <c r="B510" t="s">
        <v>47</v>
      </c>
      <c r="C510" t="str">
        <f>TEXT(Sales[[#This Row],[Order_Date]],"mmm")</f>
        <v>Oct</v>
      </c>
      <c r="D510" t="s">
        <v>507</v>
      </c>
      <c r="E510" t="s">
        <v>25</v>
      </c>
      <c r="F510" t="s">
        <v>17</v>
      </c>
      <c r="G510" t="s">
        <v>53</v>
      </c>
      <c r="H510">
        <v>4</v>
      </c>
      <c r="I510">
        <v>404</v>
      </c>
      <c r="J510">
        <v>1616</v>
      </c>
    </row>
    <row r="511" spans="1:10" x14ac:dyDescent="0.3">
      <c r="A511">
        <v>1206</v>
      </c>
      <c r="B511" t="s">
        <v>86</v>
      </c>
      <c r="C511" t="str">
        <f>TEXT(Sales[[#This Row],[Order_Date]],"mmm")</f>
        <v>Aug</v>
      </c>
      <c r="D511" t="s">
        <v>247</v>
      </c>
      <c r="E511" t="s">
        <v>25</v>
      </c>
      <c r="F511" t="s">
        <v>89</v>
      </c>
      <c r="G511" t="s">
        <v>95</v>
      </c>
      <c r="H511">
        <v>1</v>
      </c>
      <c r="I511">
        <v>1135</v>
      </c>
      <c r="J511">
        <v>1135</v>
      </c>
    </row>
    <row r="512" spans="1:10" x14ac:dyDescent="0.3">
      <c r="A512">
        <v>1087</v>
      </c>
      <c r="B512" t="s">
        <v>371</v>
      </c>
      <c r="C512" t="str">
        <f>TEXT(Sales[[#This Row],[Order_Date]],"mmm")</f>
        <v>Sep</v>
      </c>
      <c r="D512" t="s">
        <v>381</v>
      </c>
      <c r="E512" t="s">
        <v>11</v>
      </c>
      <c r="F512" t="s">
        <v>136</v>
      </c>
      <c r="G512" t="s">
        <v>67</v>
      </c>
      <c r="H512">
        <v>5</v>
      </c>
      <c r="I512">
        <v>3317</v>
      </c>
      <c r="J512">
        <v>16585</v>
      </c>
    </row>
    <row r="513" spans="1:10" x14ac:dyDescent="0.3">
      <c r="A513">
        <v>1343</v>
      </c>
      <c r="B513" t="s">
        <v>235</v>
      </c>
      <c r="C513" t="str">
        <f>TEXT(Sales[[#This Row],[Order_Date]],"mmm")</f>
        <v>Oct</v>
      </c>
      <c r="D513" t="s">
        <v>212</v>
      </c>
      <c r="E513" t="s">
        <v>11</v>
      </c>
      <c r="F513" t="s">
        <v>17</v>
      </c>
      <c r="G513" t="s">
        <v>114</v>
      </c>
      <c r="H513">
        <v>1</v>
      </c>
      <c r="I513">
        <v>3637</v>
      </c>
      <c r="J513">
        <v>3637</v>
      </c>
    </row>
    <row r="514" spans="1:10" x14ac:dyDescent="0.3">
      <c r="A514">
        <v>1456</v>
      </c>
      <c r="B514" t="s">
        <v>347</v>
      </c>
      <c r="C514" t="str">
        <f>TEXT(Sales[[#This Row],[Order_Date]],"mmm")</f>
        <v>May</v>
      </c>
      <c r="D514" t="s">
        <v>51</v>
      </c>
      <c r="E514" t="s">
        <v>16</v>
      </c>
      <c r="F514" t="s">
        <v>17</v>
      </c>
      <c r="G514" t="s">
        <v>657</v>
      </c>
      <c r="H514">
        <v>1</v>
      </c>
      <c r="I514">
        <v>2273</v>
      </c>
      <c r="J514">
        <v>2273</v>
      </c>
    </row>
    <row r="515" spans="1:10" x14ac:dyDescent="0.3">
      <c r="A515">
        <v>1510</v>
      </c>
      <c r="B515" t="s">
        <v>207</v>
      </c>
      <c r="C515" t="str">
        <f>TEXT(Sales[[#This Row],[Order_Date]],"mmm")</f>
        <v>Oct</v>
      </c>
      <c r="D515" t="s">
        <v>251</v>
      </c>
      <c r="E515" t="s">
        <v>16</v>
      </c>
      <c r="F515" t="s">
        <v>83</v>
      </c>
      <c r="G515" t="s">
        <v>57</v>
      </c>
      <c r="H515">
        <v>2</v>
      </c>
      <c r="I515">
        <v>4097</v>
      </c>
      <c r="J515">
        <v>8194</v>
      </c>
    </row>
    <row r="516" spans="1:10" x14ac:dyDescent="0.3">
      <c r="A516">
        <v>1006</v>
      </c>
      <c r="B516" t="s">
        <v>328</v>
      </c>
      <c r="C516" t="str">
        <f>TEXT(Sales[[#This Row],[Order_Date]],"mmm")</f>
        <v>May</v>
      </c>
      <c r="D516" t="s">
        <v>99</v>
      </c>
      <c r="E516" t="s">
        <v>42</v>
      </c>
      <c r="F516" t="s">
        <v>89</v>
      </c>
      <c r="G516" t="s">
        <v>133</v>
      </c>
      <c r="H516">
        <v>2</v>
      </c>
      <c r="I516">
        <v>1414</v>
      </c>
      <c r="J516">
        <v>2828</v>
      </c>
    </row>
    <row r="517" spans="1:10" x14ac:dyDescent="0.3">
      <c r="A517">
        <v>1148</v>
      </c>
      <c r="B517" t="s">
        <v>367</v>
      </c>
      <c r="C517" t="str">
        <f>TEXT(Sales[[#This Row],[Order_Date]],"mmm")</f>
        <v>Jan</v>
      </c>
      <c r="D517" t="s">
        <v>103</v>
      </c>
      <c r="E517" t="s">
        <v>42</v>
      </c>
      <c r="F517" t="s">
        <v>89</v>
      </c>
      <c r="G517" t="s">
        <v>95</v>
      </c>
      <c r="H517">
        <v>1</v>
      </c>
      <c r="I517">
        <v>3615</v>
      </c>
      <c r="J517">
        <v>3615</v>
      </c>
    </row>
    <row r="518" spans="1:10" x14ac:dyDescent="0.3">
      <c r="A518">
        <v>1291</v>
      </c>
      <c r="B518" t="s">
        <v>403</v>
      </c>
      <c r="C518" t="str">
        <f>TEXT(Sales[[#This Row],[Order_Date]],"mmm")</f>
        <v>Nov</v>
      </c>
      <c r="D518" t="s">
        <v>171</v>
      </c>
      <c r="E518" t="s">
        <v>42</v>
      </c>
      <c r="F518" t="s">
        <v>17</v>
      </c>
      <c r="G518" t="s">
        <v>53</v>
      </c>
      <c r="H518">
        <v>1</v>
      </c>
      <c r="I518">
        <v>2651</v>
      </c>
      <c r="J518">
        <v>2651</v>
      </c>
    </row>
    <row r="519" spans="1:10" x14ac:dyDescent="0.3">
      <c r="A519">
        <v>1069</v>
      </c>
      <c r="B519" t="s">
        <v>556</v>
      </c>
      <c r="C519" t="str">
        <f>TEXT(Sales[[#This Row],[Order_Date]],"mmm")</f>
        <v>Aug</v>
      </c>
      <c r="D519" t="s">
        <v>557</v>
      </c>
      <c r="E519" t="s">
        <v>11</v>
      </c>
      <c r="F519" t="s">
        <v>83</v>
      </c>
      <c r="G519" t="s">
        <v>112</v>
      </c>
      <c r="H519">
        <v>1</v>
      </c>
      <c r="I519">
        <v>2448</v>
      </c>
      <c r="J519">
        <v>2448</v>
      </c>
    </row>
    <row r="520" spans="1:10" x14ac:dyDescent="0.3">
      <c r="A520">
        <v>1214</v>
      </c>
      <c r="B520" t="s">
        <v>292</v>
      </c>
      <c r="C520" t="str">
        <f>TEXT(Sales[[#This Row],[Order_Date]],"mmm")</f>
        <v>Dec</v>
      </c>
      <c r="D520" t="s">
        <v>105</v>
      </c>
      <c r="E520" t="s">
        <v>16</v>
      </c>
      <c r="F520" t="s">
        <v>83</v>
      </c>
      <c r="G520" t="s">
        <v>32</v>
      </c>
      <c r="H520">
        <v>5</v>
      </c>
      <c r="I520">
        <v>2552</v>
      </c>
      <c r="J520">
        <v>12760</v>
      </c>
    </row>
    <row r="521" spans="1:10" x14ac:dyDescent="0.3">
      <c r="A521">
        <v>1265</v>
      </c>
      <c r="B521" t="s">
        <v>558</v>
      </c>
      <c r="C521" t="str">
        <f>TEXT(Sales[[#This Row],[Order_Date]],"mmm")</f>
        <v>Sep</v>
      </c>
      <c r="D521" t="s">
        <v>526</v>
      </c>
      <c r="E521" t="s">
        <v>16</v>
      </c>
      <c r="F521" t="s">
        <v>89</v>
      </c>
      <c r="G521" t="s">
        <v>13</v>
      </c>
      <c r="H521">
        <v>4</v>
      </c>
      <c r="I521">
        <v>1673</v>
      </c>
      <c r="J521">
        <v>6692</v>
      </c>
    </row>
    <row r="522" spans="1:10" x14ac:dyDescent="0.3">
      <c r="A522">
        <v>1297</v>
      </c>
      <c r="B522" t="s">
        <v>559</v>
      </c>
      <c r="C522" t="str">
        <f>TEXT(Sales[[#This Row],[Order_Date]],"mmm")</f>
        <v>Apr</v>
      </c>
      <c r="D522" t="s">
        <v>107</v>
      </c>
      <c r="E522" t="s">
        <v>25</v>
      </c>
      <c r="F522" t="s">
        <v>83</v>
      </c>
      <c r="G522" t="s">
        <v>32</v>
      </c>
      <c r="H522">
        <v>2</v>
      </c>
      <c r="I522">
        <v>3596</v>
      </c>
      <c r="J522">
        <v>7192</v>
      </c>
    </row>
    <row r="523" spans="1:10" x14ac:dyDescent="0.3">
      <c r="A523">
        <v>1573</v>
      </c>
      <c r="B523" t="s">
        <v>455</v>
      </c>
      <c r="C523" t="str">
        <f>TEXT(Sales[[#This Row],[Order_Date]],"mmm")</f>
        <v>Nov</v>
      </c>
      <c r="D523" t="s">
        <v>44</v>
      </c>
      <c r="E523" t="s">
        <v>42</v>
      </c>
      <c r="F523" t="s">
        <v>83</v>
      </c>
      <c r="G523" t="s">
        <v>93</v>
      </c>
      <c r="H523">
        <v>1</v>
      </c>
      <c r="I523">
        <v>2721</v>
      </c>
      <c r="J523">
        <v>2721</v>
      </c>
    </row>
    <row r="524" spans="1:10" x14ac:dyDescent="0.3">
      <c r="A524">
        <v>1006</v>
      </c>
      <c r="B524" t="s">
        <v>560</v>
      </c>
      <c r="C524" t="str">
        <f>TEXT(Sales[[#This Row],[Order_Date]],"mmm")</f>
        <v>Feb</v>
      </c>
      <c r="D524" t="s">
        <v>41</v>
      </c>
      <c r="E524" t="s">
        <v>42</v>
      </c>
      <c r="F524" t="s">
        <v>89</v>
      </c>
      <c r="G524" t="s">
        <v>95</v>
      </c>
      <c r="H524">
        <v>2</v>
      </c>
      <c r="I524">
        <v>1789</v>
      </c>
      <c r="J524">
        <v>3578</v>
      </c>
    </row>
    <row r="525" spans="1:10" x14ac:dyDescent="0.3">
      <c r="A525">
        <v>1490</v>
      </c>
      <c r="B525" t="s">
        <v>465</v>
      </c>
      <c r="C525" t="str">
        <f>TEXT(Sales[[#This Row],[Order_Date]],"mmm")</f>
        <v>Aug</v>
      </c>
      <c r="D525" t="s">
        <v>395</v>
      </c>
      <c r="E525" t="s">
        <v>11</v>
      </c>
      <c r="F525" t="s">
        <v>83</v>
      </c>
      <c r="G525" t="s">
        <v>93</v>
      </c>
      <c r="H525">
        <v>4</v>
      </c>
      <c r="I525">
        <v>4598</v>
      </c>
      <c r="J525">
        <v>18392</v>
      </c>
    </row>
    <row r="526" spans="1:10" x14ac:dyDescent="0.3">
      <c r="A526">
        <v>1423</v>
      </c>
      <c r="B526" t="s">
        <v>446</v>
      </c>
      <c r="C526" t="str">
        <f>TEXT(Sales[[#This Row],[Order_Date]],"mmm")</f>
        <v>Jan</v>
      </c>
      <c r="D526" t="s">
        <v>34</v>
      </c>
      <c r="E526" t="s">
        <v>42</v>
      </c>
      <c r="F526" t="s">
        <v>89</v>
      </c>
      <c r="G526" t="s">
        <v>133</v>
      </c>
      <c r="H526">
        <v>2</v>
      </c>
      <c r="I526">
        <v>4930</v>
      </c>
      <c r="J526">
        <v>9860</v>
      </c>
    </row>
    <row r="527" spans="1:10" x14ac:dyDescent="0.3">
      <c r="A527">
        <v>1362</v>
      </c>
      <c r="B527" t="s">
        <v>561</v>
      </c>
      <c r="C527" t="str">
        <f>TEXT(Sales[[#This Row],[Order_Date]],"mmm")</f>
        <v>Feb</v>
      </c>
      <c r="D527" t="s">
        <v>534</v>
      </c>
      <c r="E527" t="s">
        <v>25</v>
      </c>
      <c r="F527" t="s">
        <v>17</v>
      </c>
      <c r="G527" t="s">
        <v>101</v>
      </c>
      <c r="H527">
        <v>4</v>
      </c>
      <c r="I527">
        <v>4576</v>
      </c>
      <c r="J527">
        <v>18304</v>
      </c>
    </row>
    <row r="528" spans="1:10" x14ac:dyDescent="0.3">
      <c r="A528">
        <v>1398</v>
      </c>
      <c r="B528" t="s">
        <v>90</v>
      </c>
      <c r="C528" t="str">
        <f>TEXT(Sales[[#This Row],[Order_Date]],"mmm")</f>
        <v>Apr</v>
      </c>
      <c r="D528" t="s">
        <v>189</v>
      </c>
      <c r="E528" t="s">
        <v>42</v>
      </c>
      <c r="F528" t="s">
        <v>83</v>
      </c>
      <c r="G528" t="s">
        <v>112</v>
      </c>
      <c r="H528">
        <v>3</v>
      </c>
      <c r="I528">
        <v>3590</v>
      </c>
      <c r="J528">
        <v>10770</v>
      </c>
    </row>
    <row r="529" spans="1:10" x14ac:dyDescent="0.3">
      <c r="A529">
        <v>1380</v>
      </c>
      <c r="B529" t="s">
        <v>439</v>
      </c>
      <c r="C529" t="str">
        <f>TEXT(Sales[[#This Row],[Order_Date]],"mmm")</f>
        <v>Aug</v>
      </c>
      <c r="D529" t="s">
        <v>293</v>
      </c>
      <c r="E529" t="s">
        <v>11</v>
      </c>
      <c r="F529" t="s">
        <v>89</v>
      </c>
      <c r="G529" t="s">
        <v>13</v>
      </c>
      <c r="H529">
        <v>1</v>
      </c>
      <c r="I529">
        <v>3265</v>
      </c>
      <c r="J529">
        <v>3265</v>
      </c>
    </row>
    <row r="530" spans="1:10" x14ac:dyDescent="0.3">
      <c r="A530">
        <v>1094</v>
      </c>
      <c r="B530" t="s">
        <v>217</v>
      </c>
      <c r="C530" t="str">
        <f>TEXT(Sales[[#This Row],[Order_Date]],"mmm")</f>
        <v>Aug</v>
      </c>
      <c r="D530" t="s">
        <v>562</v>
      </c>
      <c r="E530" t="s">
        <v>16</v>
      </c>
      <c r="F530" t="s">
        <v>83</v>
      </c>
      <c r="G530" t="s">
        <v>78</v>
      </c>
      <c r="H530">
        <v>3</v>
      </c>
      <c r="I530">
        <v>4160</v>
      </c>
      <c r="J530">
        <v>12480</v>
      </c>
    </row>
    <row r="531" spans="1:10" x14ac:dyDescent="0.3">
      <c r="A531">
        <v>1335</v>
      </c>
      <c r="B531" t="s">
        <v>219</v>
      </c>
      <c r="C531" t="str">
        <f>TEXT(Sales[[#This Row],[Order_Date]],"mmm")</f>
        <v>Mar</v>
      </c>
      <c r="D531" t="s">
        <v>323</v>
      </c>
      <c r="E531" t="s">
        <v>16</v>
      </c>
      <c r="F531" t="s">
        <v>83</v>
      </c>
      <c r="G531" t="s">
        <v>57</v>
      </c>
      <c r="H531">
        <v>1</v>
      </c>
      <c r="I531">
        <v>3963</v>
      </c>
      <c r="J531">
        <v>3963</v>
      </c>
    </row>
    <row r="532" spans="1:10" x14ac:dyDescent="0.3">
      <c r="A532">
        <v>1118</v>
      </c>
      <c r="B532" t="s">
        <v>563</v>
      </c>
      <c r="C532" t="str">
        <f>TEXT(Sales[[#This Row],[Order_Date]],"mmm")</f>
        <v>Jan</v>
      </c>
      <c r="D532" t="s">
        <v>69</v>
      </c>
      <c r="E532" t="s">
        <v>25</v>
      </c>
      <c r="F532" t="s">
        <v>83</v>
      </c>
      <c r="G532" t="s">
        <v>57</v>
      </c>
      <c r="H532">
        <v>4</v>
      </c>
      <c r="I532">
        <v>577</v>
      </c>
      <c r="J532">
        <v>2308</v>
      </c>
    </row>
    <row r="533" spans="1:10" x14ac:dyDescent="0.3">
      <c r="A533">
        <v>1319</v>
      </c>
      <c r="B533" t="s">
        <v>401</v>
      </c>
      <c r="C533" t="str">
        <f>TEXT(Sales[[#This Row],[Order_Date]],"mmm")</f>
        <v>Jan</v>
      </c>
      <c r="D533" t="s">
        <v>526</v>
      </c>
      <c r="E533" t="s">
        <v>16</v>
      </c>
      <c r="F533" t="s">
        <v>89</v>
      </c>
      <c r="G533" t="s">
        <v>13</v>
      </c>
      <c r="H533">
        <v>2</v>
      </c>
      <c r="I533">
        <v>2547</v>
      </c>
      <c r="J533">
        <v>5094</v>
      </c>
    </row>
    <row r="534" spans="1:10" x14ac:dyDescent="0.3">
      <c r="A534">
        <v>1451</v>
      </c>
      <c r="B534" t="s">
        <v>564</v>
      </c>
      <c r="C534" t="str">
        <f>TEXT(Sales[[#This Row],[Order_Date]],"mmm")</f>
        <v>Dec</v>
      </c>
      <c r="D534" t="s">
        <v>565</v>
      </c>
      <c r="E534" t="s">
        <v>42</v>
      </c>
      <c r="F534" t="s">
        <v>89</v>
      </c>
      <c r="G534" t="s">
        <v>13</v>
      </c>
      <c r="H534">
        <v>1</v>
      </c>
      <c r="I534">
        <v>324</v>
      </c>
      <c r="J534">
        <v>324</v>
      </c>
    </row>
    <row r="535" spans="1:10" x14ac:dyDescent="0.3">
      <c r="A535">
        <v>1104</v>
      </c>
      <c r="B535" t="s">
        <v>413</v>
      </c>
      <c r="C535" t="str">
        <f>TEXT(Sales[[#This Row],[Order_Date]],"mmm")</f>
        <v>Apr</v>
      </c>
      <c r="D535" t="s">
        <v>550</v>
      </c>
      <c r="E535" t="s">
        <v>42</v>
      </c>
      <c r="F535" t="s">
        <v>89</v>
      </c>
      <c r="G535" t="s">
        <v>133</v>
      </c>
      <c r="H535">
        <v>2</v>
      </c>
      <c r="I535">
        <v>2520</v>
      </c>
      <c r="J535">
        <v>5040</v>
      </c>
    </row>
    <row r="536" spans="1:10" x14ac:dyDescent="0.3">
      <c r="A536">
        <v>1318</v>
      </c>
      <c r="B536" t="s">
        <v>141</v>
      </c>
      <c r="C536" t="str">
        <f>TEXT(Sales[[#This Row],[Order_Date]],"mmm")</f>
        <v>Nov</v>
      </c>
      <c r="D536" t="s">
        <v>363</v>
      </c>
      <c r="E536" t="s">
        <v>42</v>
      </c>
      <c r="F536" t="s">
        <v>89</v>
      </c>
      <c r="G536" t="s">
        <v>133</v>
      </c>
      <c r="H536">
        <v>2</v>
      </c>
      <c r="I536">
        <v>437</v>
      </c>
      <c r="J536">
        <v>874</v>
      </c>
    </row>
    <row r="537" spans="1:10" x14ac:dyDescent="0.3">
      <c r="A537">
        <v>1108</v>
      </c>
      <c r="B537" t="s">
        <v>566</v>
      </c>
      <c r="C537" t="str">
        <f>TEXT(Sales[[#This Row],[Order_Date]],"mmm")</f>
        <v>Jul</v>
      </c>
      <c r="D537" t="s">
        <v>454</v>
      </c>
      <c r="E537" t="s">
        <v>11</v>
      </c>
      <c r="F537" t="s">
        <v>83</v>
      </c>
      <c r="G537" t="s">
        <v>78</v>
      </c>
      <c r="H537">
        <v>5</v>
      </c>
      <c r="I537">
        <v>3852</v>
      </c>
      <c r="J537">
        <v>19260</v>
      </c>
    </row>
    <row r="538" spans="1:10" x14ac:dyDescent="0.3">
      <c r="A538">
        <v>1202</v>
      </c>
      <c r="B538" t="s">
        <v>68</v>
      </c>
      <c r="C538" t="str">
        <f>TEXT(Sales[[#This Row],[Order_Date]],"mmm")</f>
        <v>Dec</v>
      </c>
      <c r="D538" t="s">
        <v>433</v>
      </c>
      <c r="E538" t="s">
        <v>25</v>
      </c>
      <c r="F538" t="s">
        <v>83</v>
      </c>
      <c r="G538" t="s">
        <v>78</v>
      </c>
      <c r="H538">
        <v>4</v>
      </c>
      <c r="I538">
        <v>996</v>
      </c>
      <c r="J538">
        <v>3984</v>
      </c>
    </row>
    <row r="539" spans="1:10" x14ac:dyDescent="0.3">
      <c r="A539">
        <v>1476</v>
      </c>
      <c r="B539" t="s">
        <v>213</v>
      </c>
      <c r="C539" t="str">
        <f>TEXT(Sales[[#This Row],[Order_Date]],"mmm")</f>
        <v>Aug</v>
      </c>
      <c r="D539" t="s">
        <v>173</v>
      </c>
      <c r="E539" t="s">
        <v>25</v>
      </c>
      <c r="F539" t="s">
        <v>17</v>
      </c>
      <c r="G539" t="s">
        <v>114</v>
      </c>
      <c r="H539">
        <v>4</v>
      </c>
      <c r="I539">
        <v>1702</v>
      </c>
      <c r="J539">
        <v>6808</v>
      </c>
    </row>
    <row r="540" spans="1:10" x14ac:dyDescent="0.3">
      <c r="A540">
        <v>1332</v>
      </c>
      <c r="B540" t="s">
        <v>86</v>
      </c>
      <c r="C540" t="str">
        <f>TEXT(Sales[[#This Row],[Order_Date]],"mmm")</f>
        <v>Aug</v>
      </c>
      <c r="D540" t="s">
        <v>144</v>
      </c>
      <c r="E540" t="s">
        <v>25</v>
      </c>
      <c r="F540" t="s">
        <v>83</v>
      </c>
      <c r="G540" t="s">
        <v>32</v>
      </c>
      <c r="H540">
        <v>3</v>
      </c>
      <c r="I540">
        <v>4121</v>
      </c>
      <c r="J540">
        <v>12363</v>
      </c>
    </row>
    <row r="541" spans="1:10" x14ac:dyDescent="0.3">
      <c r="A541">
        <v>1356</v>
      </c>
      <c r="B541" t="s">
        <v>104</v>
      </c>
      <c r="C541" t="str">
        <f>TEXT(Sales[[#This Row],[Order_Date]],"mmm")</f>
        <v>Nov</v>
      </c>
      <c r="D541" t="s">
        <v>526</v>
      </c>
      <c r="E541" t="s">
        <v>11</v>
      </c>
      <c r="F541" t="s">
        <v>17</v>
      </c>
      <c r="G541" t="s">
        <v>18</v>
      </c>
      <c r="H541">
        <v>1</v>
      </c>
      <c r="I541">
        <v>2869</v>
      </c>
      <c r="J541">
        <v>2869</v>
      </c>
    </row>
    <row r="542" spans="1:10" x14ac:dyDescent="0.3">
      <c r="A542">
        <v>1309</v>
      </c>
      <c r="B542" t="s">
        <v>340</v>
      </c>
      <c r="C542" t="str">
        <f>TEXT(Sales[[#This Row],[Order_Date]],"mmm")</f>
        <v>Sep</v>
      </c>
      <c r="D542" t="s">
        <v>301</v>
      </c>
      <c r="E542" t="s">
        <v>16</v>
      </c>
      <c r="F542" t="s">
        <v>136</v>
      </c>
      <c r="G542" t="s">
        <v>67</v>
      </c>
      <c r="H542">
        <v>5</v>
      </c>
      <c r="I542">
        <v>2196</v>
      </c>
      <c r="J542">
        <v>10980</v>
      </c>
    </row>
    <row r="543" spans="1:10" x14ac:dyDescent="0.3">
      <c r="A543">
        <v>1393</v>
      </c>
      <c r="B543" t="s">
        <v>561</v>
      </c>
      <c r="C543" t="str">
        <f>TEXT(Sales[[#This Row],[Order_Date]],"mmm")</f>
        <v>Feb</v>
      </c>
      <c r="D543" t="s">
        <v>162</v>
      </c>
      <c r="E543" t="s">
        <v>11</v>
      </c>
      <c r="F543" t="s">
        <v>17</v>
      </c>
      <c r="G543" t="s">
        <v>18</v>
      </c>
      <c r="H543">
        <v>5</v>
      </c>
      <c r="I543">
        <v>3003</v>
      </c>
      <c r="J543">
        <v>15015</v>
      </c>
    </row>
    <row r="544" spans="1:10" x14ac:dyDescent="0.3">
      <c r="A544">
        <v>1079</v>
      </c>
      <c r="B544" t="s">
        <v>435</v>
      </c>
      <c r="C544" t="str">
        <f>TEXT(Sales[[#This Row],[Order_Date]],"mmm")</f>
        <v>Dec</v>
      </c>
      <c r="D544" t="s">
        <v>414</v>
      </c>
      <c r="E544" t="s">
        <v>25</v>
      </c>
      <c r="F544" t="s">
        <v>136</v>
      </c>
      <c r="G544" t="s">
        <v>124</v>
      </c>
      <c r="H544">
        <v>5</v>
      </c>
      <c r="I544">
        <v>999</v>
      </c>
      <c r="J544">
        <v>4995</v>
      </c>
    </row>
    <row r="545" spans="1:10" x14ac:dyDescent="0.3">
      <c r="A545">
        <v>1415</v>
      </c>
      <c r="B545" t="s">
        <v>98</v>
      </c>
      <c r="C545" t="str">
        <f>TEXT(Sales[[#This Row],[Order_Date]],"mmm")</f>
        <v>Feb</v>
      </c>
      <c r="D545" t="s">
        <v>256</v>
      </c>
      <c r="E545" t="s">
        <v>25</v>
      </c>
      <c r="F545" t="s">
        <v>83</v>
      </c>
      <c r="G545" t="s">
        <v>57</v>
      </c>
      <c r="H545">
        <v>4</v>
      </c>
      <c r="I545">
        <v>703</v>
      </c>
      <c r="J545">
        <v>2812</v>
      </c>
    </row>
    <row r="546" spans="1:10" x14ac:dyDescent="0.3">
      <c r="A546">
        <v>1594</v>
      </c>
      <c r="B546" t="s">
        <v>33</v>
      </c>
      <c r="C546" t="str">
        <f>TEXT(Sales[[#This Row],[Order_Date]],"mmm")</f>
        <v>Nov</v>
      </c>
      <c r="D546" t="s">
        <v>368</v>
      </c>
      <c r="E546" t="s">
        <v>16</v>
      </c>
      <c r="F546" t="s">
        <v>83</v>
      </c>
      <c r="G546" t="s">
        <v>93</v>
      </c>
      <c r="H546">
        <v>5</v>
      </c>
      <c r="I546">
        <v>2587</v>
      </c>
      <c r="J546">
        <v>12935</v>
      </c>
    </row>
    <row r="547" spans="1:10" x14ac:dyDescent="0.3">
      <c r="A547">
        <v>1200</v>
      </c>
      <c r="B547" t="s">
        <v>413</v>
      </c>
      <c r="C547" t="str">
        <f>TEXT(Sales[[#This Row],[Order_Date]],"mmm")</f>
        <v>Apr</v>
      </c>
      <c r="D547" t="s">
        <v>351</v>
      </c>
      <c r="E547" t="s">
        <v>11</v>
      </c>
      <c r="F547" t="s">
        <v>89</v>
      </c>
      <c r="G547" t="s">
        <v>95</v>
      </c>
      <c r="H547">
        <v>3</v>
      </c>
      <c r="I547">
        <v>931</v>
      </c>
      <c r="J547">
        <v>2793</v>
      </c>
    </row>
    <row r="548" spans="1:10" x14ac:dyDescent="0.3">
      <c r="A548">
        <v>1522</v>
      </c>
      <c r="B548" t="s">
        <v>567</v>
      </c>
      <c r="C548" t="str">
        <f>TEXT(Sales[[#This Row],[Order_Date]],"mmm")</f>
        <v>Jul</v>
      </c>
      <c r="D548" t="s">
        <v>263</v>
      </c>
      <c r="E548" t="s">
        <v>25</v>
      </c>
      <c r="F548" t="s">
        <v>17</v>
      </c>
      <c r="G548" t="s">
        <v>657</v>
      </c>
      <c r="H548">
        <v>5</v>
      </c>
      <c r="I548">
        <v>635</v>
      </c>
      <c r="J548">
        <v>3175</v>
      </c>
    </row>
    <row r="549" spans="1:10" x14ac:dyDescent="0.3">
      <c r="A549">
        <v>1367</v>
      </c>
      <c r="B549" t="s">
        <v>568</v>
      </c>
      <c r="C549" t="str">
        <f>TEXT(Sales[[#This Row],[Order_Date]],"mmm")</f>
        <v>Feb</v>
      </c>
      <c r="D549" t="s">
        <v>424</v>
      </c>
      <c r="E549" t="s">
        <v>11</v>
      </c>
      <c r="F549" t="s">
        <v>89</v>
      </c>
      <c r="G549" t="s">
        <v>27</v>
      </c>
      <c r="H549">
        <v>5</v>
      </c>
      <c r="I549">
        <v>3429</v>
      </c>
      <c r="J549">
        <v>17145</v>
      </c>
    </row>
    <row r="550" spans="1:10" x14ac:dyDescent="0.3">
      <c r="A550">
        <v>1415</v>
      </c>
      <c r="B550" t="s">
        <v>287</v>
      </c>
      <c r="C550" t="str">
        <f>TEXT(Sales[[#This Row],[Order_Date]],"mmm")</f>
        <v>Jul</v>
      </c>
      <c r="D550" t="s">
        <v>194</v>
      </c>
      <c r="E550" t="s">
        <v>11</v>
      </c>
      <c r="F550" t="s">
        <v>17</v>
      </c>
      <c r="G550" t="s">
        <v>114</v>
      </c>
      <c r="H550">
        <v>2</v>
      </c>
      <c r="I550">
        <v>4750</v>
      </c>
      <c r="J550">
        <v>9500</v>
      </c>
    </row>
    <row r="551" spans="1:10" x14ac:dyDescent="0.3">
      <c r="A551">
        <v>1427</v>
      </c>
      <c r="B551" t="s">
        <v>50</v>
      </c>
      <c r="C551" t="str">
        <f>TEXT(Sales[[#This Row],[Order_Date]],"mmm")</f>
        <v>Mar</v>
      </c>
      <c r="D551" t="s">
        <v>87</v>
      </c>
      <c r="E551" t="s">
        <v>25</v>
      </c>
      <c r="F551" t="s">
        <v>17</v>
      </c>
      <c r="G551" t="s">
        <v>114</v>
      </c>
      <c r="H551">
        <v>1</v>
      </c>
      <c r="I551">
        <v>1379</v>
      </c>
      <c r="J551">
        <v>1379</v>
      </c>
    </row>
    <row r="552" spans="1:10" x14ac:dyDescent="0.3">
      <c r="A552">
        <v>1447</v>
      </c>
      <c r="B552" t="s">
        <v>543</v>
      </c>
      <c r="C552" t="str">
        <f>TEXT(Sales[[#This Row],[Order_Date]],"mmm")</f>
        <v>Mar</v>
      </c>
      <c r="D552" t="s">
        <v>132</v>
      </c>
      <c r="E552" t="s">
        <v>11</v>
      </c>
      <c r="F552" t="s">
        <v>17</v>
      </c>
      <c r="G552" t="s">
        <v>53</v>
      </c>
      <c r="H552">
        <v>5</v>
      </c>
      <c r="I552">
        <v>1672</v>
      </c>
      <c r="J552">
        <v>8360</v>
      </c>
    </row>
    <row r="553" spans="1:10" x14ac:dyDescent="0.3">
      <c r="A553">
        <v>1460</v>
      </c>
      <c r="B553" t="s">
        <v>566</v>
      </c>
      <c r="C553" t="str">
        <f>TEXT(Sales[[#This Row],[Order_Date]],"mmm")</f>
        <v>Jul</v>
      </c>
      <c r="D553" t="s">
        <v>167</v>
      </c>
      <c r="E553" t="s">
        <v>42</v>
      </c>
      <c r="F553" t="s">
        <v>17</v>
      </c>
      <c r="G553" t="s">
        <v>114</v>
      </c>
      <c r="H553">
        <v>5</v>
      </c>
      <c r="I553">
        <v>4280</v>
      </c>
      <c r="J553">
        <v>21400</v>
      </c>
    </row>
    <row r="554" spans="1:10" x14ac:dyDescent="0.3">
      <c r="A554">
        <v>1513</v>
      </c>
      <c r="B554" t="s">
        <v>569</v>
      </c>
      <c r="C554" t="str">
        <f>TEXT(Sales[[#This Row],[Order_Date]],"mmm")</f>
        <v>May</v>
      </c>
      <c r="D554" t="s">
        <v>196</v>
      </c>
      <c r="E554" t="s">
        <v>16</v>
      </c>
      <c r="F554" t="s">
        <v>89</v>
      </c>
      <c r="G554" t="s">
        <v>27</v>
      </c>
      <c r="H554">
        <v>3</v>
      </c>
      <c r="I554">
        <v>1127</v>
      </c>
      <c r="J554">
        <v>3381</v>
      </c>
    </row>
    <row r="555" spans="1:10" x14ac:dyDescent="0.3">
      <c r="A555">
        <v>1081</v>
      </c>
      <c r="B555" t="s">
        <v>570</v>
      </c>
      <c r="C555" t="str">
        <f>TEXT(Sales[[#This Row],[Order_Date]],"mmm")</f>
        <v>Mar</v>
      </c>
      <c r="D555" t="s">
        <v>482</v>
      </c>
      <c r="E555" t="s">
        <v>25</v>
      </c>
      <c r="F555" t="s">
        <v>89</v>
      </c>
      <c r="G555" t="s">
        <v>75</v>
      </c>
      <c r="H555">
        <v>2</v>
      </c>
      <c r="I555">
        <v>4070</v>
      </c>
      <c r="J555">
        <v>8140</v>
      </c>
    </row>
    <row r="556" spans="1:10" x14ac:dyDescent="0.3">
      <c r="A556">
        <v>1079</v>
      </c>
      <c r="B556" t="s">
        <v>300</v>
      </c>
      <c r="C556" t="str">
        <f>TEXT(Sales[[#This Row],[Order_Date]],"mmm")</f>
        <v>Dec</v>
      </c>
      <c r="D556" t="s">
        <v>38</v>
      </c>
      <c r="E556" t="s">
        <v>25</v>
      </c>
      <c r="F556" t="s">
        <v>89</v>
      </c>
      <c r="G556" t="s">
        <v>133</v>
      </c>
      <c r="H556">
        <v>5</v>
      </c>
      <c r="I556">
        <v>288</v>
      </c>
      <c r="J556">
        <v>1440</v>
      </c>
    </row>
    <row r="557" spans="1:10" x14ac:dyDescent="0.3">
      <c r="A557">
        <v>1480</v>
      </c>
      <c r="B557" t="s">
        <v>443</v>
      </c>
      <c r="C557" t="str">
        <f>TEXT(Sales[[#This Row],[Order_Date]],"mmm")</f>
        <v>Oct</v>
      </c>
      <c r="D557" t="s">
        <v>539</v>
      </c>
      <c r="E557" t="s">
        <v>42</v>
      </c>
      <c r="F557" t="s">
        <v>89</v>
      </c>
      <c r="G557" t="s">
        <v>75</v>
      </c>
      <c r="H557">
        <v>3</v>
      </c>
      <c r="I557">
        <v>1572</v>
      </c>
      <c r="J557">
        <v>4716</v>
      </c>
    </row>
    <row r="558" spans="1:10" x14ac:dyDescent="0.3">
      <c r="A558">
        <v>1311</v>
      </c>
      <c r="B558" t="s">
        <v>571</v>
      </c>
      <c r="C558" t="str">
        <f>TEXT(Sales[[#This Row],[Order_Date]],"mmm")</f>
        <v>Oct</v>
      </c>
      <c r="D558" t="s">
        <v>481</v>
      </c>
      <c r="E558" t="s">
        <v>42</v>
      </c>
      <c r="F558" t="s">
        <v>83</v>
      </c>
      <c r="G558" t="s">
        <v>78</v>
      </c>
      <c r="H558">
        <v>3</v>
      </c>
      <c r="I558">
        <v>423</v>
      </c>
      <c r="J558">
        <v>1269</v>
      </c>
    </row>
    <row r="559" spans="1:10" x14ac:dyDescent="0.3">
      <c r="A559">
        <v>1517</v>
      </c>
      <c r="B559" t="s">
        <v>272</v>
      </c>
      <c r="C559" t="str">
        <f>TEXT(Sales[[#This Row],[Order_Date]],"mmm")</f>
        <v>Feb</v>
      </c>
      <c r="D559" t="s">
        <v>126</v>
      </c>
      <c r="E559" t="s">
        <v>42</v>
      </c>
      <c r="F559" t="s">
        <v>89</v>
      </c>
      <c r="G559" t="s">
        <v>657</v>
      </c>
      <c r="H559">
        <v>3</v>
      </c>
      <c r="I559">
        <v>2304</v>
      </c>
      <c r="J559">
        <v>6912</v>
      </c>
    </row>
    <row r="560" spans="1:10" x14ac:dyDescent="0.3">
      <c r="A560">
        <v>1178</v>
      </c>
      <c r="B560" t="s">
        <v>447</v>
      </c>
      <c r="C560" t="str">
        <f>TEXT(Sales[[#This Row],[Order_Date]],"mmm")</f>
        <v>Oct</v>
      </c>
      <c r="D560" t="s">
        <v>10</v>
      </c>
      <c r="E560" t="s">
        <v>11</v>
      </c>
      <c r="F560" t="s">
        <v>17</v>
      </c>
      <c r="G560" t="s">
        <v>53</v>
      </c>
      <c r="H560">
        <v>3</v>
      </c>
      <c r="I560">
        <v>2134</v>
      </c>
      <c r="J560">
        <v>6402</v>
      </c>
    </row>
    <row r="561" spans="1:10" x14ac:dyDescent="0.3">
      <c r="A561">
        <v>1033</v>
      </c>
      <c r="B561" t="s">
        <v>546</v>
      </c>
      <c r="C561" t="str">
        <f>TEXT(Sales[[#This Row],[Order_Date]],"mmm")</f>
        <v>Jun</v>
      </c>
      <c r="D561" t="s">
        <v>132</v>
      </c>
      <c r="E561" t="s">
        <v>16</v>
      </c>
      <c r="F561" t="s">
        <v>17</v>
      </c>
      <c r="G561" t="s">
        <v>18</v>
      </c>
      <c r="H561">
        <v>4</v>
      </c>
      <c r="I561">
        <v>3338</v>
      </c>
      <c r="J561">
        <v>13352</v>
      </c>
    </row>
    <row r="562" spans="1:10" x14ac:dyDescent="0.3">
      <c r="A562">
        <v>1171</v>
      </c>
      <c r="B562" t="s">
        <v>528</v>
      </c>
      <c r="C562" t="str">
        <f>TEXT(Sales[[#This Row],[Order_Date]],"mmm")</f>
        <v>Apr</v>
      </c>
      <c r="D562" t="s">
        <v>526</v>
      </c>
      <c r="E562" t="s">
        <v>25</v>
      </c>
      <c r="F562" t="s">
        <v>89</v>
      </c>
      <c r="G562" t="s">
        <v>27</v>
      </c>
      <c r="H562">
        <v>1</v>
      </c>
      <c r="I562">
        <v>1572</v>
      </c>
      <c r="J562">
        <v>1572</v>
      </c>
    </row>
    <row r="563" spans="1:10" x14ac:dyDescent="0.3">
      <c r="A563">
        <v>1487</v>
      </c>
      <c r="B563" t="s">
        <v>340</v>
      </c>
      <c r="C563" t="str">
        <f>TEXT(Sales[[#This Row],[Order_Date]],"mmm")</f>
        <v>Sep</v>
      </c>
      <c r="D563" t="s">
        <v>173</v>
      </c>
      <c r="E563" t="s">
        <v>657</v>
      </c>
      <c r="F563" t="s">
        <v>136</v>
      </c>
      <c r="G563" t="s">
        <v>46</v>
      </c>
      <c r="H563">
        <v>2</v>
      </c>
      <c r="I563">
        <v>4545</v>
      </c>
      <c r="J563">
        <v>9090</v>
      </c>
    </row>
    <row r="564" spans="1:10" x14ac:dyDescent="0.3">
      <c r="A564">
        <v>1459</v>
      </c>
      <c r="B564" t="s">
        <v>287</v>
      </c>
      <c r="C564" t="str">
        <f>TEXT(Sales[[#This Row],[Order_Date]],"mmm")</f>
        <v>Jul</v>
      </c>
      <c r="D564" t="s">
        <v>151</v>
      </c>
      <c r="E564" t="s">
        <v>25</v>
      </c>
      <c r="F564" t="s">
        <v>89</v>
      </c>
      <c r="G564" t="s">
        <v>133</v>
      </c>
      <c r="H564">
        <v>5</v>
      </c>
      <c r="I564">
        <v>3098</v>
      </c>
      <c r="J564">
        <v>15490</v>
      </c>
    </row>
    <row r="565" spans="1:10" x14ac:dyDescent="0.3">
      <c r="A565">
        <v>1279</v>
      </c>
      <c r="B565" t="s">
        <v>434</v>
      </c>
      <c r="C565" t="str">
        <f>TEXT(Sales[[#This Row],[Order_Date]],"mmm")</f>
        <v>Jun</v>
      </c>
      <c r="D565" t="s">
        <v>548</v>
      </c>
      <c r="E565" t="s">
        <v>11</v>
      </c>
      <c r="F565" t="s">
        <v>89</v>
      </c>
      <c r="G565" t="s">
        <v>27</v>
      </c>
      <c r="H565">
        <v>4</v>
      </c>
      <c r="I565">
        <v>2180</v>
      </c>
      <c r="J565">
        <v>8720</v>
      </c>
    </row>
    <row r="566" spans="1:10" x14ac:dyDescent="0.3">
      <c r="A566">
        <v>1199</v>
      </c>
      <c r="B566" t="s">
        <v>143</v>
      </c>
      <c r="C566" t="str">
        <f>TEXT(Sales[[#This Row],[Order_Date]],"mmm")</f>
        <v>Sep</v>
      </c>
      <c r="D566" t="s">
        <v>154</v>
      </c>
      <c r="E566" t="s">
        <v>42</v>
      </c>
      <c r="F566" t="s">
        <v>17</v>
      </c>
      <c r="G566" t="s">
        <v>101</v>
      </c>
      <c r="H566">
        <v>1</v>
      </c>
      <c r="I566">
        <v>297</v>
      </c>
      <c r="J566">
        <v>297</v>
      </c>
    </row>
    <row r="567" spans="1:10" x14ac:dyDescent="0.3">
      <c r="A567">
        <v>1456</v>
      </c>
      <c r="B567" t="s">
        <v>117</v>
      </c>
      <c r="C567" t="str">
        <f>TEXT(Sales[[#This Row],[Order_Date]],"mmm")</f>
        <v>Jun</v>
      </c>
      <c r="D567" t="s">
        <v>572</v>
      </c>
      <c r="E567" t="s">
        <v>42</v>
      </c>
      <c r="F567" t="s">
        <v>89</v>
      </c>
      <c r="G567" t="s">
        <v>95</v>
      </c>
      <c r="H567">
        <v>1</v>
      </c>
      <c r="I567">
        <v>953</v>
      </c>
      <c r="J567">
        <v>953</v>
      </c>
    </row>
    <row r="568" spans="1:10" x14ac:dyDescent="0.3">
      <c r="A568">
        <v>1222</v>
      </c>
      <c r="B568" t="s">
        <v>573</v>
      </c>
      <c r="C568" t="str">
        <f>TEXT(Sales[[#This Row],[Order_Date]],"mmm")</f>
        <v>Nov</v>
      </c>
      <c r="D568" t="s">
        <v>309</v>
      </c>
      <c r="E568" t="s">
        <v>11</v>
      </c>
      <c r="F568" t="s">
        <v>83</v>
      </c>
      <c r="G568" t="s">
        <v>32</v>
      </c>
      <c r="H568">
        <v>4</v>
      </c>
      <c r="I568">
        <v>4837</v>
      </c>
      <c r="J568">
        <v>19348</v>
      </c>
    </row>
    <row r="569" spans="1:10" x14ac:dyDescent="0.3">
      <c r="A569">
        <v>1113</v>
      </c>
      <c r="B569" t="s">
        <v>292</v>
      </c>
      <c r="C569" t="str">
        <f>TEXT(Sales[[#This Row],[Order_Date]],"mmm")</f>
        <v>Dec</v>
      </c>
      <c r="D569" t="s">
        <v>390</v>
      </c>
      <c r="E569" t="s">
        <v>25</v>
      </c>
      <c r="F569" t="s">
        <v>89</v>
      </c>
      <c r="G569" t="s">
        <v>95</v>
      </c>
      <c r="H569">
        <v>4</v>
      </c>
      <c r="I569">
        <v>2464</v>
      </c>
      <c r="J569">
        <v>9856</v>
      </c>
    </row>
    <row r="570" spans="1:10" x14ac:dyDescent="0.3">
      <c r="A570">
        <v>1331</v>
      </c>
      <c r="B570" t="s">
        <v>227</v>
      </c>
      <c r="C570" t="str">
        <f>TEXT(Sales[[#This Row],[Order_Date]],"mmm")</f>
        <v>May</v>
      </c>
      <c r="D570" t="s">
        <v>527</v>
      </c>
      <c r="E570" t="s">
        <v>11</v>
      </c>
      <c r="F570" t="s">
        <v>83</v>
      </c>
      <c r="G570" t="s">
        <v>112</v>
      </c>
      <c r="H570">
        <v>4</v>
      </c>
      <c r="I570">
        <v>2925</v>
      </c>
      <c r="J570">
        <v>11700</v>
      </c>
    </row>
    <row r="571" spans="1:10" x14ac:dyDescent="0.3">
      <c r="A571">
        <v>1271</v>
      </c>
      <c r="B571" t="s">
        <v>364</v>
      </c>
      <c r="C571" t="str">
        <f>TEXT(Sales[[#This Row],[Order_Date]],"mmm")</f>
        <v>Apr</v>
      </c>
      <c r="D571" t="s">
        <v>179</v>
      </c>
      <c r="E571" t="s">
        <v>11</v>
      </c>
      <c r="F571" t="s">
        <v>83</v>
      </c>
      <c r="G571" t="s">
        <v>78</v>
      </c>
      <c r="H571">
        <v>2</v>
      </c>
      <c r="I571">
        <v>4230</v>
      </c>
      <c r="J571">
        <v>8460</v>
      </c>
    </row>
    <row r="572" spans="1:10" x14ac:dyDescent="0.3">
      <c r="A572">
        <v>1441</v>
      </c>
      <c r="B572" t="s">
        <v>233</v>
      </c>
      <c r="C572" t="str">
        <f>TEXT(Sales[[#This Row],[Order_Date]],"mmm")</f>
        <v>Apr</v>
      </c>
      <c r="D572" t="s">
        <v>350</v>
      </c>
      <c r="E572" t="s">
        <v>25</v>
      </c>
      <c r="F572" t="s">
        <v>83</v>
      </c>
      <c r="G572" t="s">
        <v>78</v>
      </c>
      <c r="H572">
        <v>1</v>
      </c>
      <c r="I572">
        <v>797</v>
      </c>
      <c r="J572">
        <v>797</v>
      </c>
    </row>
    <row r="573" spans="1:10" x14ac:dyDescent="0.3">
      <c r="A573">
        <v>1456</v>
      </c>
      <c r="B573" t="s">
        <v>473</v>
      </c>
      <c r="C573" t="str">
        <f>TEXT(Sales[[#This Row],[Order_Date]],"mmm")</f>
        <v>Jan</v>
      </c>
      <c r="D573" t="s">
        <v>388</v>
      </c>
      <c r="E573" t="s">
        <v>42</v>
      </c>
      <c r="F573" t="s">
        <v>136</v>
      </c>
      <c r="G573" t="s">
        <v>128</v>
      </c>
      <c r="H573">
        <v>4</v>
      </c>
      <c r="I573">
        <v>2382</v>
      </c>
      <c r="J573">
        <v>9528</v>
      </c>
    </row>
    <row r="574" spans="1:10" x14ac:dyDescent="0.3">
      <c r="A574">
        <v>1400</v>
      </c>
      <c r="B574" t="s">
        <v>520</v>
      </c>
      <c r="C574" t="str">
        <f>TEXT(Sales[[#This Row],[Order_Date]],"mmm")</f>
        <v>Oct</v>
      </c>
      <c r="D574" t="s">
        <v>107</v>
      </c>
      <c r="E574" t="s">
        <v>11</v>
      </c>
      <c r="F574" t="s">
        <v>136</v>
      </c>
      <c r="G574" t="s">
        <v>46</v>
      </c>
      <c r="H574">
        <v>1</v>
      </c>
      <c r="I574">
        <v>4624</v>
      </c>
      <c r="J574">
        <v>4624</v>
      </c>
    </row>
    <row r="575" spans="1:10" x14ac:dyDescent="0.3">
      <c r="A575">
        <v>1493</v>
      </c>
      <c r="B575" t="s">
        <v>574</v>
      </c>
      <c r="C575" t="str">
        <f>TEXT(Sales[[#This Row],[Order_Date]],"mmm")</f>
        <v>Mar</v>
      </c>
      <c r="D575" t="s">
        <v>460</v>
      </c>
      <c r="E575" t="s">
        <v>11</v>
      </c>
      <c r="F575" t="s">
        <v>89</v>
      </c>
      <c r="G575" t="s">
        <v>95</v>
      </c>
      <c r="H575">
        <v>1</v>
      </c>
      <c r="I575">
        <v>942</v>
      </c>
      <c r="J575">
        <v>942</v>
      </c>
    </row>
    <row r="576" spans="1:10" x14ac:dyDescent="0.3">
      <c r="A576">
        <v>1348</v>
      </c>
      <c r="B576" t="s">
        <v>145</v>
      </c>
      <c r="C576" t="str">
        <f>TEXT(Sales[[#This Row],[Order_Date]],"mmm")</f>
        <v>Feb</v>
      </c>
      <c r="D576" t="s">
        <v>557</v>
      </c>
      <c r="E576" t="s">
        <v>11</v>
      </c>
      <c r="F576" t="s">
        <v>136</v>
      </c>
      <c r="G576" t="s">
        <v>22</v>
      </c>
      <c r="H576">
        <v>5</v>
      </c>
      <c r="I576">
        <v>522</v>
      </c>
      <c r="J576">
        <v>2610</v>
      </c>
    </row>
    <row r="577" spans="1:10" x14ac:dyDescent="0.3">
      <c r="A577">
        <v>1306</v>
      </c>
      <c r="B577" t="s">
        <v>292</v>
      </c>
      <c r="C577" t="str">
        <f>TEXT(Sales[[#This Row],[Order_Date]],"mmm")</f>
        <v>Dec</v>
      </c>
      <c r="D577" t="s">
        <v>276</v>
      </c>
      <c r="E577" t="s">
        <v>25</v>
      </c>
      <c r="F577" t="s">
        <v>83</v>
      </c>
      <c r="G577" t="s">
        <v>112</v>
      </c>
      <c r="H577">
        <v>4</v>
      </c>
      <c r="I577">
        <v>1752</v>
      </c>
      <c r="J577">
        <v>7008</v>
      </c>
    </row>
    <row r="578" spans="1:10" x14ac:dyDescent="0.3">
      <c r="A578">
        <v>1244</v>
      </c>
      <c r="B578" t="s">
        <v>575</v>
      </c>
      <c r="C578" t="str">
        <f>TEXT(Sales[[#This Row],[Order_Date]],"mmm")</f>
        <v>Sep</v>
      </c>
      <c r="D578" t="s">
        <v>276</v>
      </c>
      <c r="E578" t="s">
        <v>657</v>
      </c>
      <c r="F578" t="s">
        <v>83</v>
      </c>
      <c r="G578" t="s">
        <v>57</v>
      </c>
      <c r="H578">
        <v>5</v>
      </c>
      <c r="I578">
        <v>3880</v>
      </c>
      <c r="J578">
        <v>19400</v>
      </c>
    </row>
    <row r="579" spans="1:10" x14ac:dyDescent="0.3">
      <c r="A579">
        <v>1347</v>
      </c>
      <c r="B579" t="s">
        <v>446</v>
      </c>
      <c r="C579" t="str">
        <f>TEXT(Sales[[#This Row],[Order_Date]],"mmm")</f>
        <v>Jan</v>
      </c>
      <c r="D579" t="s">
        <v>154</v>
      </c>
      <c r="E579" t="s">
        <v>16</v>
      </c>
      <c r="F579" t="s">
        <v>83</v>
      </c>
      <c r="G579" t="s">
        <v>78</v>
      </c>
      <c r="H579">
        <v>5</v>
      </c>
      <c r="I579">
        <v>3954</v>
      </c>
      <c r="J579">
        <v>19770</v>
      </c>
    </row>
    <row r="580" spans="1:10" x14ac:dyDescent="0.3">
      <c r="A580">
        <v>1549</v>
      </c>
      <c r="B580" t="s">
        <v>576</v>
      </c>
      <c r="C580" t="str">
        <f>TEXT(Sales[[#This Row],[Order_Date]],"mmm")</f>
        <v>Mar</v>
      </c>
      <c r="D580" t="s">
        <v>10</v>
      </c>
      <c r="E580" t="s">
        <v>11</v>
      </c>
      <c r="F580" t="s">
        <v>17</v>
      </c>
      <c r="G580" t="s">
        <v>72</v>
      </c>
      <c r="H580">
        <v>4</v>
      </c>
      <c r="I580">
        <v>356</v>
      </c>
      <c r="J580">
        <v>1424</v>
      </c>
    </row>
    <row r="581" spans="1:10" x14ac:dyDescent="0.3">
      <c r="A581">
        <v>1046</v>
      </c>
      <c r="B581" t="s">
        <v>203</v>
      </c>
      <c r="C581" t="str">
        <f>TEXT(Sales[[#This Row],[Order_Date]],"mmm")</f>
        <v>May</v>
      </c>
      <c r="D581" t="s">
        <v>521</v>
      </c>
      <c r="E581" t="s">
        <v>42</v>
      </c>
      <c r="F581" t="s">
        <v>17</v>
      </c>
      <c r="G581" t="s">
        <v>72</v>
      </c>
      <c r="H581">
        <v>3</v>
      </c>
      <c r="I581">
        <v>997</v>
      </c>
      <c r="J581">
        <v>2991</v>
      </c>
    </row>
    <row r="582" spans="1:10" x14ac:dyDescent="0.3">
      <c r="A582">
        <v>1065</v>
      </c>
      <c r="B582" t="s">
        <v>489</v>
      </c>
      <c r="C582" t="str">
        <f>TEXT(Sales[[#This Row],[Order_Date]],"mmm")</f>
        <v>Feb</v>
      </c>
      <c r="D582" t="s">
        <v>157</v>
      </c>
      <c r="E582" t="s">
        <v>25</v>
      </c>
      <c r="F582" t="s">
        <v>136</v>
      </c>
      <c r="G582" t="s">
        <v>67</v>
      </c>
      <c r="H582">
        <v>2</v>
      </c>
      <c r="I582">
        <v>3691</v>
      </c>
      <c r="J582">
        <v>7382</v>
      </c>
    </row>
    <row r="583" spans="1:10" x14ac:dyDescent="0.3">
      <c r="A583">
        <v>1411</v>
      </c>
      <c r="B583" t="s">
        <v>459</v>
      </c>
      <c r="C583" t="str">
        <f>TEXT(Sales[[#This Row],[Order_Date]],"mmm")</f>
        <v>Jun</v>
      </c>
      <c r="D583" t="s">
        <v>565</v>
      </c>
      <c r="E583" t="s">
        <v>42</v>
      </c>
      <c r="F583" t="s">
        <v>17</v>
      </c>
      <c r="G583" t="s">
        <v>101</v>
      </c>
      <c r="H583">
        <v>5</v>
      </c>
      <c r="I583">
        <v>1620</v>
      </c>
      <c r="J583">
        <v>8100</v>
      </c>
    </row>
    <row r="584" spans="1:10" x14ac:dyDescent="0.3">
      <c r="A584">
        <v>1144</v>
      </c>
      <c r="B584" t="s">
        <v>147</v>
      </c>
      <c r="C584" t="str">
        <f>TEXT(Sales[[#This Row],[Order_Date]],"mmm")</f>
        <v>Jul</v>
      </c>
      <c r="D584" t="s">
        <v>385</v>
      </c>
      <c r="E584" t="s">
        <v>16</v>
      </c>
      <c r="F584" t="s">
        <v>89</v>
      </c>
      <c r="G584" t="s">
        <v>133</v>
      </c>
      <c r="H584">
        <v>2</v>
      </c>
      <c r="I584">
        <v>4967</v>
      </c>
      <c r="J584">
        <v>9934</v>
      </c>
    </row>
    <row r="585" spans="1:10" x14ac:dyDescent="0.3">
      <c r="A585">
        <v>1385</v>
      </c>
      <c r="B585" t="s">
        <v>253</v>
      </c>
      <c r="C585" t="str">
        <f>TEXT(Sales[[#This Row],[Order_Date]],"mmm")</f>
        <v>Mar</v>
      </c>
      <c r="D585" t="s">
        <v>281</v>
      </c>
      <c r="E585" t="s">
        <v>42</v>
      </c>
      <c r="F585" t="s">
        <v>136</v>
      </c>
      <c r="G585" t="s">
        <v>124</v>
      </c>
      <c r="H585">
        <v>2</v>
      </c>
      <c r="I585">
        <v>930</v>
      </c>
      <c r="J585">
        <v>1860</v>
      </c>
    </row>
    <row r="586" spans="1:10" x14ac:dyDescent="0.3">
      <c r="A586">
        <v>1290</v>
      </c>
      <c r="B586" t="s">
        <v>577</v>
      </c>
      <c r="C586" t="str">
        <f>TEXT(Sales[[#This Row],[Order_Date]],"mmm")</f>
        <v>Aug</v>
      </c>
      <c r="D586" t="s">
        <v>547</v>
      </c>
      <c r="E586" t="s">
        <v>11</v>
      </c>
      <c r="F586" t="s">
        <v>136</v>
      </c>
      <c r="G586" t="s">
        <v>128</v>
      </c>
      <c r="H586">
        <v>3</v>
      </c>
      <c r="I586">
        <v>4485</v>
      </c>
      <c r="J586">
        <v>13455</v>
      </c>
    </row>
    <row r="587" spans="1:10" x14ac:dyDescent="0.3">
      <c r="A587">
        <v>1178</v>
      </c>
      <c r="B587" t="s">
        <v>403</v>
      </c>
      <c r="C587" t="str">
        <f>TEXT(Sales[[#This Row],[Order_Date]],"mmm")</f>
        <v>Nov</v>
      </c>
      <c r="D587" t="s">
        <v>547</v>
      </c>
      <c r="E587" t="s">
        <v>16</v>
      </c>
      <c r="F587" t="s">
        <v>83</v>
      </c>
      <c r="G587" t="s">
        <v>57</v>
      </c>
      <c r="H587">
        <v>5</v>
      </c>
      <c r="I587">
        <v>921</v>
      </c>
      <c r="J587">
        <v>4605</v>
      </c>
    </row>
    <row r="588" spans="1:10" x14ac:dyDescent="0.3">
      <c r="A588">
        <v>1356</v>
      </c>
      <c r="B588" t="s">
        <v>94</v>
      </c>
      <c r="C588" t="str">
        <f>TEXT(Sales[[#This Row],[Order_Date]],"mmm")</f>
        <v>Aug</v>
      </c>
      <c r="D588" t="s">
        <v>252</v>
      </c>
      <c r="E588" t="s">
        <v>25</v>
      </c>
      <c r="F588" t="s">
        <v>17</v>
      </c>
      <c r="G588" t="s">
        <v>114</v>
      </c>
      <c r="H588">
        <v>5</v>
      </c>
      <c r="I588">
        <v>3164</v>
      </c>
      <c r="J588">
        <v>15820</v>
      </c>
    </row>
    <row r="589" spans="1:10" x14ac:dyDescent="0.3">
      <c r="A589">
        <v>1519</v>
      </c>
      <c r="B589" t="s">
        <v>40</v>
      </c>
      <c r="C589" t="str">
        <f>TEXT(Sales[[#This Row],[Order_Date]],"mmm")</f>
        <v>Apr</v>
      </c>
      <c r="D589" t="s">
        <v>301</v>
      </c>
      <c r="E589" t="s">
        <v>16</v>
      </c>
      <c r="F589" t="s">
        <v>17</v>
      </c>
      <c r="G589" t="s">
        <v>101</v>
      </c>
      <c r="H589">
        <v>1</v>
      </c>
      <c r="I589">
        <v>1422</v>
      </c>
      <c r="J589">
        <v>1422</v>
      </c>
    </row>
    <row r="590" spans="1:10" x14ac:dyDescent="0.3">
      <c r="A590">
        <v>1485</v>
      </c>
      <c r="B590" t="s">
        <v>578</v>
      </c>
      <c r="C590" t="str">
        <f>TEXT(Sales[[#This Row],[Order_Date]],"mmm")</f>
        <v>Sep</v>
      </c>
      <c r="D590" t="s">
        <v>164</v>
      </c>
      <c r="E590" t="s">
        <v>25</v>
      </c>
      <c r="F590" t="s">
        <v>17</v>
      </c>
      <c r="G590" t="s">
        <v>72</v>
      </c>
      <c r="H590">
        <v>3</v>
      </c>
      <c r="I590">
        <v>1916</v>
      </c>
      <c r="J590">
        <v>5748</v>
      </c>
    </row>
    <row r="591" spans="1:10" x14ac:dyDescent="0.3">
      <c r="A591">
        <v>1464</v>
      </c>
      <c r="B591" t="s">
        <v>106</v>
      </c>
      <c r="C591" t="str">
        <f>TEXT(Sales[[#This Row],[Order_Date]],"mmm")</f>
        <v>Jan</v>
      </c>
      <c r="D591" t="s">
        <v>267</v>
      </c>
      <c r="E591" t="s">
        <v>11</v>
      </c>
      <c r="F591" t="s">
        <v>83</v>
      </c>
      <c r="G591" t="s">
        <v>57</v>
      </c>
      <c r="H591">
        <v>1</v>
      </c>
      <c r="I591">
        <v>4173</v>
      </c>
      <c r="J591">
        <v>4173</v>
      </c>
    </row>
    <row r="592" spans="1:10" x14ac:dyDescent="0.3">
      <c r="A592">
        <v>1240</v>
      </c>
      <c r="B592" t="s">
        <v>217</v>
      </c>
      <c r="C592" t="str">
        <f>TEXT(Sales[[#This Row],[Order_Date]],"mmm")</f>
        <v>Aug</v>
      </c>
      <c r="D592" t="s">
        <v>271</v>
      </c>
      <c r="E592" t="s">
        <v>25</v>
      </c>
      <c r="F592" t="s">
        <v>89</v>
      </c>
      <c r="G592" t="s">
        <v>75</v>
      </c>
      <c r="H592">
        <v>2</v>
      </c>
      <c r="I592">
        <v>1102</v>
      </c>
      <c r="J592">
        <v>2204</v>
      </c>
    </row>
    <row r="593" spans="1:10" x14ac:dyDescent="0.3">
      <c r="A593">
        <v>1422</v>
      </c>
      <c r="B593" t="s">
        <v>462</v>
      </c>
      <c r="C593" t="str">
        <f>TEXT(Sales[[#This Row],[Order_Date]],"mmm")</f>
        <v>Apr</v>
      </c>
      <c r="D593" t="s">
        <v>208</v>
      </c>
      <c r="E593" t="s">
        <v>16</v>
      </c>
      <c r="F593" t="s">
        <v>17</v>
      </c>
      <c r="G593" t="s">
        <v>72</v>
      </c>
      <c r="H593">
        <v>1</v>
      </c>
      <c r="I593">
        <v>3770</v>
      </c>
      <c r="J593">
        <v>3770</v>
      </c>
    </row>
    <row r="594" spans="1:10" x14ac:dyDescent="0.3">
      <c r="A594">
        <v>1465</v>
      </c>
      <c r="B594" t="s">
        <v>364</v>
      </c>
      <c r="C594" t="str">
        <f>TEXT(Sales[[#This Row],[Order_Date]],"mmm")</f>
        <v>Apr</v>
      </c>
      <c r="D594" t="s">
        <v>276</v>
      </c>
      <c r="E594" t="s">
        <v>16</v>
      </c>
      <c r="F594" t="s">
        <v>89</v>
      </c>
      <c r="G594" t="s">
        <v>13</v>
      </c>
      <c r="H594">
        <v>3</v>
      </c>
      <c r="I594">
        <v>2409</v>
      </c>
      <c r="J594">
        <v>7227</v>
      </c>
    </row>
    <row r="595" spans="1:10" x14ac:dyDescent="0.3">
      <c r="A595">
        <v>1582</v>
      </c>
      <c r="B595" t="s">
        <v>579</v>
      </c>
      <c r="C595" t="str">
        <f>TEXT(Sales[[#This Row],[Order_Date]],"mmm")</f>
        <v>Jan</v>
      </c>
      <c r="D595" t="s">
        <v>436</v>
      </c>
      <c r="E595" t="s">
        <v>16</v>
      </c>
      <c r="F595" t="s">
        <v>17</v>
      </c>
      <c r="G595" t="s">
        <v>72</v>
      </c>
      <c r="H595">
        <v>4</v>
      </c>
      <c r="I595">
        <v>1602</v>
      </c>
      <c r="J595">
        <v>6408</v>
      </c>
    </row>
    <row r="596" spans="1:10" x14ac:dyDescent="0.3">
      <c r="A596">
        <v>1302</v>
      </c>
      <c r="B596" t="s">
        <v>104</v>
      </c>
      <c r="C596" t="str">
        <f>TEXT(Sales[[#This Row],[Order_Date]],"mmm")</f>
        <v>Nov</v>
      </c>
      <c r="D596" t="s">
        <v>496</v>
      </c>
      <c r="E596" t="s">
        <v>25</v>
      </c>
      <c r="F596" t="s">
        <v>17</v>
      </c>
      <c r="G596" t="s">
        <v>18</v>
      </c>
      <c r="H596">
        <v>4</v>
      </c>
      <c r="I596">
        <v>4474</v>
      </c>
      <c r="J596">
        <v>17896</v>
      </c>
    </row>
    <row r="597" spans="1:10" x14ac:dyDescent="0.3">
      <c r="A597">
        <v>1484</v>
      </c>
      <c r="B597" t="s">
        <v>81</v>
      </c>
      <c r="C597" t="str">
        <f>TEXT(Sales[[#This Row],[Order_Date]],"mmm")</f>
        <v>Aug</v>
      </c>
      <c r="D597" t="s">
        <v>436</v>
      </c>
      <c r="E597" t="s">
        <v>16</v>
      </c>
      <c r="F597" t="s">
        <v>83</v>
      </c>
      <c r="G597" t="s">
        <v>78</v>
      </c>
      <c r="H597">
        <v>3</v>
      </c>
      <c r="I597">
        <v>3757</v>
      </c>
      <c r="J597">
        <v>11271</v>
      </c>
    </row>
    <row r="598" spans="1:10" x14ac:dyDescent="0.3">
      <c r="A598">
        <v>1152</v>
      </c>
      <c r="B598" t="s">
        <v>443</v>
      </c>
      <c r="C598" t="str">
        <f>TEXT(Sales[[#This Row],[Order_Date]],"mmm")</f>
        <v>Oct</v>
      </c>
      <c r="D598" t="s">
        <v>388</v>
      </c>
      <c r="E598" t="s">
        <v>42</v>
      </c>
      <c r="F598" t="s">
        <v>83</v>
      </c>
      <c r="G598" t="s">
        <v>78</v>
      </c>
      <c r="H598">
        <v>4</v>
      </c>
      <c r="I598">
        <v>4330</v>
      </c>
      <c r="J598">
        <v>17320</v>
      </c>
    </row>
    <row r="599" spans="1:10" x14ac:dyDescent="0.3">
      <c r="A599">
        <v>1490</v>
      </c>
      <c r="B599" t="s">
        <v>292</v>
      </c>
      <c r="C599" t="str">
        <f>TEXT(Sales[[#This Row],[Order_Date]],"mmm")</f>
        <v>Dec</v>
      </c>
      <c r="D599" t="s">
        <v>231</v>
      </c>
      <c r="E599" t="s">
        <v>16</v>
      </c>
      <c r="F599" t="s">
        <v>83</v>
      </c>
      <c r="G599" t="s">
        <v>78</v>
      </c>
      <c r="H599">
        <v>1</v>
      </c>
      <c r="I599">
        <v>4775</v>
      </c>
      <c r="J599">
        <v>4775</v>
      </c>
    </row>
    <row r="600" spans="1:10" x14ac:dyDescent="0.3">
      <c r="A600">
        <v>1416</v>
      </c>
      <c r="B600" t="s">
        <v>233</v>
      </c>
      <c r="C600" t="str">
        <f>TEXT(Sales[[#This Row],[Order_Date]],"mmm")</f>
        <v>Apr</v>
      </c>
      <c r="D600" t="s">
        <v>418</v>
      </c>
      <c r="E600" t="s">
        <v>25</v>
      </c>
      <c r="F600" t="s">
        <v>89</v>
      </c>
      <c r="G600" t="s">
        <v>95</v>
      </c>
      <c r="H600">
        <v>1</v>
      </c>
      <c r="I600">
        <v>4130</v>
      </c>
      <c r="J600">
        <v>4130</v>
      </c>
    </row>
    <row r="601" spans="1:10" x14ac:dyDescent="0.3">
      <c r="A601">
        <v>1470</v>
      </c>
      <c r="B601" t="s">
        <v>297</v>
      </c>
      <c r="C601" t="str">
        <f>TEXT(Sales[[#This Row],[Order_Date]],"mmm")</f>
        <v>Oct</v>
      </c>
      <c r="D601" t="s">
        <v>88</v>
      </c>
      <c r="E601" t="s">
        <v>11</v>
      </c>
      <c r="F601" t="s">
        <v>83</v>
      </c>
      <c r="G601" t="s">
        <v>78</v>
      </c>
      <c r="H601">
        <v>4</v>
      </c>
      <c r="I601">
        <v>1715</v>
      </c>
      <c r="J601">
        <v>6860</v>
      </c>
    </row>
    <row r="602" spans="1:10" x14ac:dyDescent="0.3">
      <c r="A602">
        <v>1475</v>
      </c>
      <c r="B602" t="s">
        <v>580</v>
      </c>
      <c r="C602" t="str">
        <f>TEXT(Sales[[#This Row],[Order_Date]],"mmm")</f>
        <v>Dec</v>
      </c>
      <c r="D602" t="s">
        <v>38</v>
      </c>
      <c r="E602" t="s">
        <v>25</v>
      </c>
      <c r="F602" t="s">
        <v>83</v>
      </c>
      <c r="G602" t="s">
        <v>32</v>
      </c>
      <c r="H602">
        <v>5</v>
      </c>
      <c r="I602">
        <v>467</v>
      </c>
      <c r="J602">
        <v>2335</v>
      </c>
    </row>
    <row r="603" spans="1:10" x14ac:dyDescent="0.3">
      <c r="A603">
        <v>1555</v>
      </c>
      <c r="B603" t="s">
        <v>520</v>
      </c>
      <c r="C603" t="str">
        <f>TEXT(Sales[[#This Row],[Order_Date]],"mmm")</f>
        <v>Oct</v>
      </c>
      <c r="D603" t="s">
        <v>581</v>
      </c>
      <c r="E603" t="s">
        <v>42</v>
      </c>
      <c r="F603" t="s">
        <v>17</v>
      </c>
      <c r="G603" t="s">
        <v>72</v>
      </c>
      <c r="H603">
        <v>5</v>
      </c>
      <c r="I603">
        <v>3181</v>
      </c>
      <c r="J603">
        <v>15905</v>
      </c>
    </row>
    <row r="604" spans="1:10" x14ac:dyDescent="0.3">
      <c r="A604">
        <v>1374</v>
      </c>
      <c r="B604" t="s">
        <v>582</v>
      </c>
      <c r="C604" t="str">
        <f>TEXT(Sales[[#This Row],[Order_Date]],"mmm")</f>
        <v>Aug</v>
      </c>
      <c r="D604" t="s">
        <v>495</v>
      </c>
      <c r="E604" t="s">
        <v>11</v>
      </c>
      <c r="F604" t="s">
        <v>83</v>
      </c>
      <c r="G604" t="s">
        <v>112</v>
      </c>
      <c r="H604">
        <v>5</v>
      </c>
      <c r="I604">
        <v>748</v>
      </c>
      <c r="J604">
        <v>3740</v>
      </c>
    </row>
    <row r="605" spans="1:10" x14ac:dyDescent="0.3">
      <c r="A605">
        <v>1141</v>
      </c>
      <c r="B605" t="s">
        <v>434</v>
      </c>
      <c r="C605" t="str">
        <f>TEXT(Sales[[#This Row],[Order_Date]],"mmm")</f>
        <v>Jun</v>
      </c>
      <c r="D605" t="s">
        <v>331</v>
      </c>
      <c r="E605" t="s">
        <v>16</v>
      </c>
      <c r="F605" t="s">
        <v>83</v>
      </c>
      <c r="G605" t="s">
        <v>78</v>
      </c>
      <c r="H605">
        <v>3</v>
      </c>
      <c r="I605">
        <v>3089</v>
      </c>
      <c r="J605">
        <v>9267</v>
      </c>
    </row>
    <row r="606" spans="1:10" x14ac:dyDescent="0.3">
      <c r="A606">
        <v>1433</v>
      </c>
      <c r="B606" t="s">
        <v>237</v>
      </c>
      <c r="C606" t="str">
        <f>TEXT(Sales[[#This Row],[Order_Date]],"mmm")</f>
        <v>May</v>
      </c>
      <c r="D606" t="s">
        <v>454</v>
      </c>
      <c r="E606" t="s">
        <v>16</v>
      </c>
      <c r="F606" t="s">
        <v>83</v>
      </c>
      <c r="G606" t="s">
        <v>112</v>
      </c>
      <c r="H606">
        <v>4</v>
      </c>
      <c r="I606">
        <v>4307</v>
      </c>
      <c r="J606">
        <v>17228</v>
      </c>
    </row>
    <row r="607" spans="1:10" x14ac:dyDescent="0.3">
      <c r="A607">
        <v>1544</v>
      </c>
      <c r="B607" t="s">
        <v>223</v>
      </c>
      <c r="C607" t="str">
        <f>TEXT(Sales[[#This Row],[Order_Date]],"mmm")</f>
        <v>Dec</v>
      </c>
      <c r="D607" t="s">
        <v>197</v>
      </c>
      <c r="E607" t="s">
        <v>25</v>
      </c>
      <c r="F607" t="s">
        <v>89</v>
      </c>
      <c r="G607" t="s">
        <v>75</v>
      </c>
      <c r="H607">
        <v>2</v>
      </c>
      <c r="I607">
        <v>3950</v>
      </c>
      <c r="J607">
        <v>7900</v>
      </c>
    </row>
    <row r="608" spans="1:10" x14ac:dyDescent="0.3">
      <c r="A608">
        <v>1183</v>
      </c>
      <c r="B608" t="s">
        <v>347</v>
      </c>
      <c r="C608" t="str">
        <f>TEXT(Sales[[#This Row],[Order_Date]],"mmm")</f>
        <v>May</v>
      </c>
      <c r="D608" t="s">
        <v>583</v>
      </c>
      <c r="E608" t="s">
        <v>42</v>
      </c>
      <c r="F608" t="s">
        <v>83</v>
      </c>
      <c r="G608" t="s">
        <v>32</v>
      </c>
      <c r="H608">
        <v>1</v>
      </c>
      <c r="I608">
        <v>1412</v>
      </c>
      <c r="J608">
        <v>1412</v>
      </c>
    </row>
    <row r="609" spans="1:10" x14ac:dyDescent="0.3">
      <c r="A609">
        <v>1533</v>
      </c>
      <c r="B609" t="s">
        <v>268</v>
      </c>
      <c r="C609" t="str">
        <f>TEXT(Sales[[#This Row],[Order_Date]],"mmm")</f>
        <v>Nov</v>
      </c>
      <c r="D609" t="s">
        <v>584</v>
      </c>
      <c r="E609" t="s">
        <v>16</v>
      </c>
      <c r="F609" t="s">
        <v>89</v>
      </c>
      <c r="G609" t="s">
        <v>75</v>
      </c>
      <c r="H609">
        <v>3</v>
      </c>
      <c r="I609">
        <v>3641</v>
      </c>
      <c r="J609">
        <v>10923</v>
      </c>
    </row>
    <row r="610" spans="1:10" x14ac:dyDescent="0.3">
      <c r="A610">
        <v>1298</v>
      </c>
      <c r="B610" t="s">
        <v>517</v>
      </c>
      <c r="C610" t="str">
        <f>TEXT(Sales[[#This Row],[Order_Date]],"mmm")</f>
        <v>Apr</v>
      </c>
      <c r="D610" t="s">
        <v>361</v>
      </c>
      <c r="E610" t="s">
        <v>11</v>
      </c>
      <c r="F610" t="s">
        <v>83</v>
      </c>
      <c r="G610" t="s">
        <v>93</v>
      </c>
      <c r="H610">
        <v>5</v>
      </c>
      <c r="I610">
        <v>3008</v>
      </c>
      <c r="J610">
        <v>15040</v>
      </c>
    </row>
    <row r="611" spans="1:10" x14ac:dyDescent="0.3">
      <c r="A611">
        <v>1497</v>
      </c>
      <c r="B611" t="s">
        <v>402</v>
      </c>
      <c r="C611" t="str">
        <f>TEXT(Sales[[#This Row],[Order_Date]],"mmm")</f>
        <v>Oct</v>
      </c>
      <c r="D611" t="s">
        <v>103</v>
      </c>
      <c r="E611" t="s">
        <v>11</v>
      </c>
      <c r="F611" t="s">
        <v>136</v>
      </c>
      <c r="G611" t="s">
        <v>46</v>
      </c>
      <c r="H611">
        <v>3</v>
      </c>
      <c r="I611">
        <v>1606</v>
      </c>
      <c r="J611">
        <v>4818</v>
      </c>
    </row>
    <row r="612" spans="1:10" x14ac:dyDescent="0.3">
      <c r="A612">
        <v>1380</v>
      </c>
      <c r="B612" t="s">
        <v>347</v>
      </c>
      <c r="C612" t="str">
        <f>TEXT(Sales[[#This Row],[Order_Date]],"mmm")</f>
        <v>May</v>
      </c>
      <c r="D612" t="s">
        <v>284</v>
      </c>
      <c r="E612" t="s">
        <v>42</v>
      </c>
      <c r="F612" t="s">
        <v>83</v>
      </c>
      <c r="G612" t="s">
        <v>93</v>
      </c>
      <c r="H612">
        <v>4</v>
      </c>
      <c r="I612">
        <v>1562</v>
      </c>
      <c r="J612">
        <v>6248</v>
      </c>
    </row>
    <row r="613" spans="1:10" x14ac:dyDescent="0.3">
      <c r="A613">
        <v>1548</v>
      </c>
      <c r="B613" t="s">
        <v>585</v>
      </c>
      <c r="C613" t="str">
        <f>TEXT(Sales[[#This Row],[Order_Date]],"mmm")</f>
        <v>May</v>
      </c>
      <c r="D613" t="s">
        <v>586</v>
      </c>
      <c r="E613" t="s">
        <v>16</v>
      </c>
      <c r="F613" t="s">
        <v>17</v>
      </c>
      <c r="G613" t="s">
        <v>114</v>
      </c>
      <c r="H613">
        <v>1</v>
      </c>
      <c r="I613">
        <v>537</v>
      </c>
      <c r="J613">
        <v>537</v>
      </c>
    </row>
    <row r="614" spans="1:10" x14ac:dyDescent="0.3">
      <c r="A614">
        <v>1451</v>
      </c>
      <c r="B614" t="s">
        <v>377</v>
      </c>
      <c r="C614" t="str">
        <f>TEXT(Sales[[#This Row],[Order_Date]],"mmm")</f>
        <v>May</v>
      </c>
      <c r="D614" t="s">
        <v>587</v>
      </c>
      <c r="E614" t="s">
        <v>25</v>
      </c>
      <c r="F614" t="s">
        <v>17</v>
      </c>
      <c r="G614" t="s">
        <v>114</v>
      </c>
      <c r="H614">
        <v>3</v>
      </c>
      <c r="I614">
        <v>1411</v>
      </c>
      <c r="J614">
        <v>4233</v>
      </c>
    </row>
    <row r="615" spans="1:10" x14ac:dyDescent="0.3">
      <c r="A615">
        <v>1166</v>
      </c>
      <c r="B615" t="s">
        <v>376</v>
      </c>
      <c r="C615" t="str">
        <f>TEXT(Sales[[#This Row],[Order_Date]],"mmm")</f>
        <v>Sep</v>
      </c>
      <c r="D615" t="s">
        <v>327</v>
      </c>
      <c r="E615" t="s">
        <v>16</v>
      </c>
      <c r="F615" t="s">
        <v>83</v>
      </c>
      <c r="G615" t="s">
        <v>32</v>
      </c>
      <c r="H615">
        <v>2</v>
      </c>
      <c r="I615">
        <v>3952</v>
      </c>
      <c r="J615">
        <v>7904</v>
      </c>
    </row>
    <row r="616" spans="1:10" x14ac:dyDescent="0.3">
      <c r="A616">
        <v>1559</v>
      </c>
      <c r="B616" t="s">
        <v>205</v>
      </c>
      <c r="C616" t="str">
        <f>TEXT(Sales[[#This Row],[Order_Date]],"mmm")</f>
        <v>Sep</v>
      </c>
      <c r="D616" t="s">
        <v>249</v>
      </c>
      <c r="E616" t="s">
        <v>11</v>
      </c>
      <c r="F616" t="s">
        <v>89</v>
      </c>
      <c r="G616" t="s">
        <v>75</v>
      </c>
      <c r="H616">
        <v>5</v>
      </c>
      <c r="I616">
        <v>3821</v>
      </c>
      <c r="J616">
        <v>19105</v>
      </c>
    </row>
    <row r="617" spans="1:10" x14ac:dyDescent="0.3">
      <c r="A617">
        <v>1490</v>
      </c>
      <c r="B617" t="s">
        <v>425</v>
      </c>
      <c r="C617" t="str">
        <f>TEXT(Sales[[#This Row],[Order_Date]],"mmm")</f>
        <v>Jan</v>
      </c>
      <c r="D617" t="s">
        <v>146</v>
      </c>
      <c r="E617" t="s">
        <v>11</v>
      </c>
      <c r="F617" t="s">
        <v>83</v>
      </c>
      <c r="G617" t="s">
        <v>112</v>
      </c>
      <c r="H617">
        <v>5</v>
      </c>
      <c r="I617">
        <v>2005</v>
      </c>
      <c r="J617">
        <v>10025</v>
      </c>
    </row>
    <row r="618" spans="1:10" x14ac:dyDescent="0.3">
      <c r="A618">
        <v>1056</v>
      </c>
      <c r="B618" t="s">
        <v>37</v>
      </c>
      <c r="C618" t="str">
        <f>TEXT(Sales[[#This Row],[Order_Date]],"mmm")</f>
        <v>Nov</v>
      </c>
      <c r="D618" t="s">
        <v>119</v>
      </c>
      <c r="E618" t="s">
        <v>42</v>
      </c>
      <c r="F618" t="s">
        <v>17</v>
      </c>
      <c r="G618" t="s">
        <v>18</v>
      </c>
      <c r="H618">
        <v>2</v>
      </c>
      <c r="I618">
        <v>384</v>
      </c>
      <c r="J618">
        <v>768</v>
      </c>
    </row>
    <row r="619" spans="1:10" x14ac:dyDescent="0.3">
      <c r="A619">
        <v>1089</v>
      </c>
      <c r="B619" t="s">
        <v>254</v>
      </c>
      <c r="C619" t="str">
        <f>TEXT(Sales[[#This Row],[Order_Date]],"mmm")</f>
        <v>Sep</v>
      </c>
      <c r="D619" t="s">
        <v>404</v>
      </c>
      <c r="E619" t="s">
        <v>42</v>
      </c>
      <c r="F619" t="s">
        <v>17</v>
      </c>
      <c r="G619" t="s">
        <v>53</v>
      </c>
      <c r="H619">
        <v>3</v>
      </c>
      <c r="I619">
        <v>3456</v>
      </c>
      <c r="J619">
        <v>10368</v>
      </c>
    </row>
    <row r="620" spans="1:10" x14ac:dyDescent="0.3">
      <c r="A620">
        <v>1378</v>
      </c>
      <c r="B620" t="s">
        <v>392</v>
      </c>
      <c r="C620" t="str">
        <f>TEXT(Sales[[#This Row],[Order_Date]],"mmm")</f>
        <v>Jul</v>
      </c>
      <c r="D620" t="s">
        <v>291</v>
      </c>
      <c r="E620" t="s">
        <v>25</v>
      </c>
      <c r="F620" t="s">
        <v>83</v>
      </c>
      <c r="G620" t="s">
        <v>112</v>
      </c>
      <c r="H620">
        <v>3</v>
      </c>
      <c r="I620">
        <v>3850</v>
      </c>
      <c r="J620">
        <v>11550</v>
      </c>
    </row>
    <row r="621" spans="1:10" x14ac:dyDescent="0.3">
      <c r="A621">
        <v>1454</v>
      </c>
      <c r="B621" t="s">
        <v>147</v>
      </c>
      <c r="C621" t="str">
        <f>TEXT(Sales[[#This Row],[Order_Date]],"mmm")</f>
        <v>Jul</v>
      </c>
      <c r="D621" t="s">
        <v>321</v>
      </c>
      <c r="E621" t="s">
        <v>11</v>
      </c>
      <c r="F621" t="s">
        <v>136</v>
      </c>
      <c r="G621" t="s">
        <v>22</v>
      </c>
      <c r="H621">
        <v>4</v>
      </c>
      <c r="I621">
        <v>1343</v>
      </c>
      <c r="J621">
        <v>5372</v>
      </c>
    </row>
    <row r="622" spans="1:10" x14ac:dyDescent="0.3">
      <c r="A622">
        <v>1147</v>
      </c>
      <c r="B622" t="s">
        <v>183</v>
      </c>
      <c r="C622" t="str">
        <f>TEXT(Sales[[#This Row],[Order_Date]],"mmm")</f>
        <v>Apr</v>
      </c>
      <c r="D622" t="s">
        <v>327</v>
      </c>
      <c r="E622" t="s">
        <v>25</v>
      </c>
      <c r="F622" t="s">
        <v>136</v>
      </c>
      <c r="G622" t="s">
        <v>67</v>
      </c>
      <c r="H622">
        <v>5</v>
      </c>
      <c r="I622">
        <v>3278</v>
      </c>
      <c r="J622">
        <v>16390</v>
      </c>
    </row>
    <row r="623" spans="1:10" x14ac:dyDescent="0.3">
      <c r="A623">
        <v>1279</v>
      </c>
      <c r="B623" t="s">
        <v>147</v>
      </c>
      <c r="C623" t="str">
        <f>TEXT(Sales[[#This Row],[Order_Date]],"mmm")</f>
        <v>Jul</v>
      </c>
      <c r="D623" t="s">
        <v>588</v>
      </c>
      <c r="E623" t="s">
        <v>16</v>
      </c>
      <c r="F623" t="s">
        <v>136</v>
      </c>
      <c r="G623" t="s">
        <v>67</v>
      </c>
      <c r="H623">
        <v>2</v>
      </c>
      <c r="I623">
        <v>3327</v>
      </c>
      <c r="J623">
        <v>6654</v>
      </c>
    </row>
    <row r="624" spans="1:10" x14ac:dyDescent="0.3">
      <c r="A624">
        <v>1309</v>
      </c>
      <c r="B624" t="s">
        <v>47</v>
      </c>
      <c r="C624" t="str">
        <f>TEXT(Sales[[#This Row],[Order_Date]],"mmm")</f>
        <v>Oct</v>
      </c>
      <c r="D624" t="s">
        <v>327</v>
      </c>
      <c r="E624" t="s">
        <v>16</v>
      </c>
      <c r="F624" t="s">
        <v>136</v>
      </c>
      <c r="G624" t="s">
        <v>67</v>
      </c>
      <c r="H624">
        <v>1</v>
      </c>
      <c r="I624">
        <v>220</v>
      </c>
      <c r="J624">
        <v>220</v>
      </c>
    </row>
    <row r="625" spans="1:10" x14ac:dyDescent="0.3">
      <c r="A625">
        <v>1483</v>
      </c>
      <c r="B625" t="s">
        <v>589</v>
      </c>
      <c r="C625" t="str">
        <f>TEXT(Sales[[#This Row],[Order_Date]],"mmm")</f>
        <v>Mar</v>
      </c>
      <c r="D625" t="s">
        <v>130</v>
      </c>
      <c r="E625" t="s">
        <v>16</v>
      </c>
      <c r="F625" t="s">
        <v>89</v>
      </c>
      <c r="G625" t="s">
        <v>75</v>
      </c>
      <c r="H625">
        <v>2</v>
      </c>
      <c r="I625">
        <v>433</v>
      </c>
      <c r="J625">
        <v>866</v>
      </c>
    </row>
    <row r="626" spans="1:10" x14ac:dyDescent="0.3">
      <c r="A626">
        <v>1068</v>
      </c>
      <c r="B626" t="s">
        <v>573</v>
      </c>
      <c r="C626" t="str">
        <f>TEXT(Sales[[#This Row],[Order_Date]],"mmm")</f>
        <v>Nov</v>
      </c>
      <c r="D626" t="s">
        <v>210</v>
      </c>
      <c r="E626" t="s">
        <v>11</v>
      </c>
      <c r="F626" t="s">
        <v>89</v>
      </c>
      <c r="G626" t="s">
        <v>133</v>
      </c>
      <c r="H626">
        <v>3</v>
      </c>
      <c r="I626">
        <v>4099</v>
      </c>
      <c r="J626">
        <v>12297</v>
      </c>
    </row>
    <row r="627" spans="1:10" x14ac:dyDescent="0.3">
      <c r="A627">
        <v>1382</v>
      </c>
      <c r="B627" t="s">
        <v>254</v>
      </c>
      <c r="C627" t="str">
        <f>TEXT(Sales[[#This Row],[Order_Date]],"mmm")</f>
        <v>Sep</v>
      </c>
      <c r="D627" t="s">
        <v>539</v>
      </c>
      <c r="E627" t="s">
        <v>42</v>
      </c>
      <c r="F627" t="s">
        <v>83</v>
      </c>
      <c r="G627" t="s">
        <v>112</v>
      </c>
      <c r="H627">
        <v>2</v>
      </c>
      <c r="I627">
        <v>2818</v>
      </c>
      <c r="J627">
        <v>5636</v>
      </c>
    </row>
    <row r="628" spans="1:10" x14ac:dyDescent="0.3">
      <c r="A628">
        <v>1365</v>
      </c>
      <c r="B628" t="s">
        <v>590</v>
      </c>
      <c r="C628" t="str">
        <f>TEXT(Sales[[#This Row],[Order_Date]],"mmm")</f>
        <v>Mar</v>
      </c>
      <c r="D628" t="s">
        <v>454</v>
      </c>
      <c r="E628" t="s">
        <v>25</v>
      </c>
      <c r="F628" t="s">
        <v>89</v>
      </c>
      <c r="G628" t="s">
        <v>95</v>
      </c>
      <c r="H628">
        <v>1</v>
      </c>
      <c r="I628">
        <v>2574</v>
      </c>
      <c r="J628">
        <v>2574</v>
      </c>
    </row>
    <row r="629" spans="1:10" x14ac:dyDescent="0.3">
      <c r="A629">
        <v>1078</v>
      </c>
      <c r="B629" t="s">
        <v>73</v>
      </c>
      <c r="C629" t="str">
        <f>TEXT(Sales[[#This Row],[Order_Date]],"mmm")</f>
        <v>Sep</v>
      </c>
      <c r="D629" t="s">
        <v>29</v>
      </c>
      <c r="E629" t="s">
        <v>25</v>
      </c>
      <c r="F629" t="s">
        <v>17</v>
      </c>
      <c r="G629" t="s">
        <v>72</v>
      </c>
      <c r="H629">
        <v>3</v>
      </c>
      <c r="I629">
        <v>2666</v>
      </c>
      <c r="J629">
        <v>7998</v>
      </c>
    </row>
    <row r="630" spans="1:10" x14ac:dyDescent="0.3">
      <c r="A630">
        <v>1371</v>
      </c>
      <c r="B630" t="s">
        <v>591</v>
      </c>
      <c r="C630" t="str">
        <f>TEXT(Sales[[#This Row],[Order_Date]],"mmm")</f>
        <v>Feb</v>
      </c>
      <c r="D630" t="s">
        <v>286</v>
      </c>
      <c r="E630" t="s">
        <v>11</v>
      </c>
      <c r="F630" t="s">
        <v>89</v>
      </c>
      <c r="G630" t="s">
        <v>13</v>
      </c>
      <c r="H630">
        <v>5</v>
      </c>
      <c r="I630">
        <v>2505</v>
      </c>
      <c r="J630">
        <v>12525</v>
      </c>
    </row>
    <row r="631" spans="1:10" x14ac:dyDescent="0.3">
      <c r="A631">
        <v>1348</v>
      </c>
      <c r="B631" t="s">
        <v>590</v>
      </c>
      <c r="C631" t="str">
        <f>TEXT(Sales[[#This Row],[Order_Date]],"mmm")</f>
        <v>Mar</v>
      </c>
      <c r="D631" t="s">
        <v>267</v>
      </c>
      <c r="E631" t="s">
        <v>16</v>
      </c>
      <c r="F631" t="s">
        <v>17</v>
      </c>
      <c r="G631" t="s">
        <v>114</v>
      </c>
      <c r="H631">
        <v>5</v>
      </c>
      <c r="I631">
        <v>4506</v>
      </c>
      <c r="J631">
        <v>22530</v>
      </c>
    </row>
    <row r="632" spans="1:10" x14ac:dyDescent="0.3">
      <c r="A632">
        <v>1116</v>
      </c>
      <c r="B632" t="s">
        <v>577</v>
      </c>
      <c r="C632" t="str">
        <f>TEXT(Sales[[#This Row],[Order_Date]],"mmm")</f>
        <v>Aug</v>
      </c>
      <c r="D632" t="s">
        <v>243</v>
      </c>
      <c r="E632" t="s">
        <v>42</v>
      </c>
      <c r="F632" t="s">
        <v>83</v>
      </c>
      <c r="G632" t="s">
        <v>32</v>
      </c>
      <c r="H632">
        <v>4</v>
      </c>
      <c r="I632">
        <v>3052</v>
      </c>
      <c r="J632">
        <v>12208</v>
      </c>
    </row>
    <row r="633" spans="1:10" x14ac:dyDescent="0.3">
      <c r="A633">
        <v>1452</v>
      </c>
      <c r="B633" t="s">
        <v>341</v>
      </c>
      <c r="C633" t="str">
        <f>TEXT(Sales[[#This Row],[Order_Date]],"mmm")</f>
        <v>Nov</v>
      </c>
      <c r="D633" t="s">
        <v>488</v>
      </c>
      <c r="E633" t="s">
        <v>42</v>
      </c>
      <c r="F633" t="s">
        <v>89</v>
      </c>
      <c r="G633" t="s">
        <v>13</v>
      </c>
      <c r="H633">
        <v>1</v>
      </c>
      <c r="I633">
        <v>2021</v>
      </c>
      <c r="J633">
        <v>2021</v>
      </c>
    </row>
    <row r="634" spans="1:10" x14ac:dyDescent="0.3">
      <c r="A634">
        <v>1232</v>
      </c>
      <c r="B634" t="s">
        <v>188</v>
      </c>
      <c r="C634" t="str">
        <f>TEXT(Sales[[#This Row],[Order_Date]],"mmm")</f>
        <v>Jun</v>
      </c>
      <c r="D634" t="s">
        <v>311</v>
      </c>
      <c r="E634" t="s">
        <v>11</v>
      </c>
      <c r="F634" t="s">
        <v>17</v>
      </c>
      <c r="G634" t="s">
        <v>657</v>
      </c>
      <c r="H634">
        <v>1</v>
      </c>
      <c r="I634">
        <v>836</v>
      </c>
      <c r="J634">
        <v>836</v>
      </c>
    </row>
    <row r="635" spans="1:10" x14ac:dyDescent="0.3">
      <c r="A635">
        <v>1441</v>
      </c>
      <c r="B635" t="s">
        <v>302</v>
      </c>
      <c r="C635" t="str">
        <f>TEXT(Sales[[#This Row],[Order_Date]],"mmm")</f>
        <v>Jan</v>
      </c>
      <c r="D635" t="s">
        <v>592</v>
      </c>
      <c r="E635" t="s">
        <v>16</v>
      </c>
      <c r="F635" t="s">
        <v>83</v>
      </c>
      <c r="G635" t="s">
        <v>32</v>
      </c>
      <c r="H635">
        <v>1</v>
      </c>
      <c r="I635">
        <v>2272</v>
      </c>
      <c r="J635">
        <v>2272</v>
      </c>
    </row>
    <row r="636" spans="1:10" x14ac:dyDescent="0.3">
      <c r="A636">
        <v>1010</v>
      </c>
      <c r="B636" t="s">
        <v>591</v>
      </c>
      <c r="C636" t="str">
        <f>TEXT(Sales[[#This Row],[Order_Date]],"mmm")</f>
        <v>Feb</v>
      </c>
      <c r="D636" t="s">
        <v>214</v>
      </c>
      <c r="E636" t="s">
        <v>16</v>
      </c>
      <c r="F636" t="s">
        <v>83</v>
      </c>
      <c r="G636" t="s">
        <v>57</v>
      </c>
      <c r="H636">
        <v>2</v>
      </c>
      <c r="I636">
        <v>3079</v>
      </c>
      <c r="J636">
        <v>6158</v>
      </c>
    </row>
    <row r="637" spans="1:10" x14ac:dyDescent="0.3">
      <c r="A637">
        <v>1284</v>
      </c>
      <c r="B637" t="s">
        <v>593</v>
      </c>
      <c r="C637" t="str">
        <f>TEXT(Sales[[#This Row],[Order_Date]],"mmm")</f>
        <v>Oct</v>
      </c>
      <c r="D637" t="s">
        <v>400</v>
      </c>
      <c r="E637" t="s">
        <v>25</v>
      </c>
      <c r="F637" t="s">
        <v>89</v>
      </c>
      <c r="G637" t="s">
        <v>13</v>
      </c>
      <c r="H637">
        <v>1</v>
      </c>
      <c r="I637">
        <v>4936</v>
      </c>
      <c r="J637">
        <v>4936</v>
      </c>
    </row>
    <row r="638" spans="1:10" x14ac:dyDescent="0.3">
      <c r="A638">
        <v>1196</v>
      </c>
      <c r="B638" t="s">
        <v>275</v>
      </c>
      <c r="C638" t="str">
        <f>TEXT(Sales[[#This Row],[Order_Date]],"mmm")</f>
        <v>May</v>
      </c>
      <c r="D638" t="s">
        <v>385</v>
      </c>
      <c r="E638" t="s">
        <v>16</v>
      </c>
      <c r="F638" t="s">
        <v>83</v>
      </c>
      <c r="G638" t="s">
        <v>32</v>
      </c>
      <c r="H638">
        <v>3</v>
      </c>
      <c r="I638">
        <v>1716</v>
      </c>
      <c r="J638">
        <v>5148</v>
      </c>
    </row>
    <row r="639" spans="1:10" x14ac:dyDescent="0.3">
      <c r="A639">
        <v>1185</v>
      </c>
      <c r="B639" t="s">
        <v>383</v>
      </c>
      <c r="C639" t="str">
        <f>TEXT(Sales[[#This Row],[Order_Date]],"mmm")</f>
        <v>Jun</v>
      </c>
      <c r="D639" t="s">
        <v>182</v>
      </c>
      <c r="E639" t="s">
        <v>11</v>
      </c>
      <c r="F639" t="s">
        <v>136</v>
      </c>
      <c r="G639" t="s">
        <v>128</v>
      </c>
      <c r="H639">
        <v>1</v>
      </c>
      <c r="I639">
        <v>2774</v>
      </c>
      <c r="J639">
        <v>2774</v>
      </c>
    </row>
    <row r="640" spans="1:10" x14ac:dyDescent="0.3">
      <c r="A640">
        <v>1139</v>
      </c>
      <c r="B640" t="s">
        <v>334</v>
      </c>
      <c r="C640" t="str">
        <f>TEXT(Sales[[#This Row],[Order_Date]],"mmm")</f>
        <v>Sep</v>
      </c>
      <c r="D640" t="s">
        <v>59</v>
      </c>
      <c r="E640" t="s">
        <v>25</v>
      </c>
      <c r="F640" t="s">
        <v>89</v>
      </c>
      <c r="G640" t="s">
        <v>95</v>
      </c>
      <c r="H640">
        <v>3</v>
      </c>
      <c r="I640">
        <v>4244</v>
      </c>
      <c r="J640">
        <v>12732</v>
      </c>
    </row>
    <row r="641" spans="1:10" x14ac:dyDescent="0.3">
      <c r="A641">
        <v>1319</v>
      </c>
      <c r="B641" t="s">
        <v>594</v>
      </c>
      <c r="C641" t="str">
        <f>TEXT(Sales[[#This Row],[Order_Date]],"mmm")</f>
        <v>Dec</v>
      </c>
      <c r="D641" t="s">
        <v>305</v>
      </c>
      <c r="E641" t="s">
        <v>42</v>
      </c>
      <c r="F641" t="s">
        <v>136</v>
      </c>
      <c r="G641" t="s">
        <v>128</v>
      </c>
      <c r="H641">
        <v>4</v>
      </c>
      <c r="I641">
        <v>1746</v>
      </c>
      <c r="J641">
        <v>6984</v>
      </c>
    </row>
    <row r="642" spans="1:10" x14ac:dyDescent="0.3">
      <c r="A642">
        <v>1487</v>
      </c>
      <c r="B642" t="s">
        <v>223</v>
      </c>
      <c r="C642" t="str">
        <f>TEXT(Sales[[#This Row],[Order_Date]],"mmm")</f>
        <v>Dec</v>
      </c>
      <c r="D642" t="s">
        <v>587</v>
      </c>
      <c r="E642" t="s">
        <v>25</v>
      </c>
      <c r="F642" t="s">
        <v>17</v>
      </c>
      <c r="G642" t="s">
        <v>72</v>
      </c>
      <c r="H642">
        <v>4</v>
      </c>
      <c r="I642">
        <v>3788</v>
      </c>
      <c r="J642">
        <v>15152</v>
      </c>
    </row>
    <row r="643" spans="1:10" x14ac:dyDescent="0.3">
      <c r="A643">
        <v>1122</v>
      </c>
      <c r="B643" t="s">
        <v>219</v>
      </c>
      <c r="C643" t="str">
        <f>TEXT(Sales[[#This Row],[Order_Date]],"mmm")</f>
        <v>Mar</v>
      </c>
      <c r="D643" t="s">
        <v>260</v>
      </c>
      <c r="E643" t="s">
        <v>11</v>
      </c>
      <c r="F643" t="s">
        <v>136</v>
      </c>
      <c r="G643" t="s">
        <v>67</v>
      </c>
      <c r="H643">
        <v>1</v>
      </c>
      <c r="I643">
        <v>3179</v>
      </c>
      <c r="J643">
        <v>3179</v>
      </c>
    </row>
    <row r="644" spans="1:10" x14ac:dyDescent="0.3">
      <c r="A644">
        <v>1413</v>
      </c>
      <c r="B644" t="s">
        <v>574</v>
      </c>
      <c r="C644" t="str">
        <f>TEXT(Sales[[#This Row],[Order_Date]],"mmm")</f>
        <v>Mar</v>
      </c>
      <c r="D644" t="s">
        <v>173</v>
      </c>
      <c r="E644" t="s">
        <v>42</v>
      </c>
      <c r="F644" t="s">
        <v>136</v>
      </c>
      <c r="G644" t="s">
        <v>46</v>
      </c>
      <c r="H644">
        <v>4</v>
      </c>
      <c r="I644">
        <v>3117</v>
      </c>
      <c r="J644">
        <v>12468</v>
      </c>
    </row>
    <row r="645" spans="1:10" x14ac:dyDescent="0.3">
      <c r="A645">
        <v>1414</v>
      </c>
      <c r="B645" t="s">
        <v>408</v>
      </c>
      <c r="C645" t="str">
        <f>TEXT(Sales[[#This Row],[Order_Date]],"mmm")</f>
        <v>Sep</v>
      </c>
      <c r="D645" t="s">
        <v>319</v>
      </c>
      <c r="E645" t="s">
        <v>25</v>
      </c>
      <c r="F645" t="s">
        <v>89</v>
      </c>
      <c r="G645" t="s">
        <v>13</v>
      </c>
      <c r="H645">
        <v>1</v>
      </c>
      <c r="I645">
        <v>2253</v>
      </c>
      <c r="J645">
        <v>2253</v>
      </c>
    </row>
    <row r="646" spans="1:10" x14ac:dyDescent="0.3">
      <c r="A646">
        <v>1137</v>
      </c>
      <c r="B646" t="s">
        <v>595</v>
      </c>
      <c r="C646" t="str">
        <f>TEXT(Sales[[#This Row],[Order_Date]],"mmm")</f>
        <v>Jan</v>
      </c>
      <c r="D646" t="s">
        <v>449</v>
      </c>
      <c r="E646" t="s">
        <v>42</v>
      </c>
      <c r="F646" t="s">
        <v>83</v>
      </c>
      <c r="G646" t="s">
        <v>32</v>
      </c>
      <c r="H646">
        <v>2</v>
      </c>
      <c r="I646">
        <v>3334</v>
      </c>
      <c r="J646">
        <v>6668</v>
      </c>
    </row>
    <row r="647" spans="1:10" x14ac:dyDescent="0.3">
      <c r="A647">
        <v>1310</v>
      </c>
      <c r="B647" t="s">
        <v>596</v>
      </c>
      <c r="C647" t="str">
        <f>TEXT(Sales[[#This Row],[Order_Date]],"mmm")</f>
        <v>Nov</v>
      </c>
      <c r="D647" t="s">
        <v>477</v>
      </c>
      <c r="E647" t="s">
        <v>16</v>
      </c>
      <c r="F647" t="s">
        <v>83</v>
      </c>
      <c r="G647" t="s">
        <v>32</v>
      </c>
      <c r="H647">
        <v>2</v>
      </c>
      <c r="I647">
        <v>2604</v>
      </c>
      <c r="J647">
        <v>5208</v>
      </c>
    </row>
    <row r="648" spans="1:10" x14ac:dyDescent="0.3">
      <c r="A648">
        <v>1267</v>
      </c>
      <c r="B648" t="s">
        <v>215</v>
      </c>
      <c r="C648" t="str">
        <f>TEXT(Sales[[#This Row],[Order_Date]],"mmm")</f>
        <v>Oct</v>
      </c>
      <c r="D648" t="s">
        <v>162</v>
      </c>
      <c r="E648" t="s">
        <v>25</v>
      </c>
      <c r="F648" t="s">
        <v>83</v>
      </c>
      <c r="G648" t="s">
        <v>32</v>
      </c>
      <c r="H648">
        <v>4</v>
      </c>
      <c r="I648">
        <v>3887</v>
      </c>
      <c r="J648">
        <v>15548</v>
      </c>
    </row>
    <row r="649" spans="1:10" x14ac:dyDescent="0.3">
      <c r="A649">
        <v>1470</v>
      </c>
      <c r="B649" t="s">
        <v>597</v>
      </c>
      <c r="C649" t="str">
        <f>TEXT(Sales[[#This Row],[Order_Date]],"mmm")</f>
        <v>Jan</v>
      </c>
      <c r="D649" t="s">
        <v>598</v>
      </c>
      <c r="E649" t="s">
        <v>11</v>
      </c>
      <c r="F649" t="s">
        <v>17</v>
      </c>
      <c r="G649" t="s">
        <v>18</v>
      </c>
      <c r="H649">
        <v>4</v>
      </c>
      <c r="I649">
        <v>3728</v>
      </c>
      <c r="J649">
        <v>14912</v>
      </c>
    </row>
    <row r="650" spans="1:10" x14ac:dyDescent="0.3">
      <c r="A650">
        <v>1499</v>
      </c>
      <c r="B650" t="s">
        <v>568</v>
      </c>
      <c r="C650" t="str">
        <f>TEXT(Sales[[#This Row],[Order_Date]],"mmm")</f>
        <v>Feb</v>
      </c>
      <c r="D650" t="s">
        <v>460</v>
      </c>
      <c r="E650" t="s">
        <v>16</v>
      </c>
      <c r="F650" t="s">
        <v>136</v>
      </c>
      <c r="G650" t="s">
        <v>67</v>
      </c>
      <c r="H650">
        <v>5</v>
      </c>
      <c r="I650">
        <v>1480</v>
      </c>
      <c r="J650">
        <v>7400</v>
      </c>
    </row>
    <row r="651" spans="1:10" x14ac:dyDescent="0.3">
      <c r="A651">
        <v>1506</v>
      </c>
      <c r="B651" t="s">
        <v>447</v>
      </c>
      <c r="C651" t="str">
        <f>TEXT(Sales[[#This Row],[Order_Date]],"mmm")</f>
        <v>Oct</v>
      </c>
      <c r="D651" t="s">
        <v>534</v>
      </c>
      <c r="E651" t="s">
        <v>42</v>
      </c>
      <c r="F651" t="s">
        <v>136</v>
      </c>
      <c r="G651" t="s">
        <v>67</v>
      </c>
      <c r="H651">
        <v>3</v>
      </c>
      <c r="I651">
        <v>703</v>
      </c>
      <c r="J651">
        <v>2109</v>
      </c>
    </row>
    <row r="652" spans="1:10" x14ac:dyDescent="0.3">
      <c r="A652">
        <v>1375</v>
      </c>
      <c r="B652" t="s">
        <v>599</v>
      </c>
      <c r="C652" t="str">
        <f>TEXT(Sales[[#This Row],[Order_Date]],"mmm")</f>
        <v>Jun</v>
      </c>
      <c r="D652" t="s">
        <v>368</v>
      </c>
      <c r="E652" t="s">
        <v>25</v>
      </c>
      <c r="F652" t="s">
        <v>83</v>
      </c>
      <c r="G652" t="s">
        <v>112</v>
      </c>
      <c r="H652">
        <v>4</v>
      </c>
      <c r="I652">
        <v>3027</v>
      </c>
      <c r="J652">
        <v>12108</v>
      </c>
    </row>
    <row r="653" spans="1:10" x14ac:dyDescent="0.3">
      <c r="A653">
        <v>1057</v>
      </c>
      <c r="B653" t="s">
        <v>468</v>
      </c>
      <c r="C653" t="str">
        <f>TEXT(Sales[[#This Row],[Order_Date]],"mmm")</f>
        <v>Dec</v>
      </c>
      <c r="D653" t="s">
        <v>135</v>
      </c>
      <c r="E653" t="s">
        <v>25</v>
      </c>
      <c r="F653" t="s">
        <v>17</v>
      </c>
      <c r="G653" t="s">
        <v>114</v>
      </c>
      <c r="H653">
        <v>1</v>
      </c>
      <c r="I653">
        <v>2697</v>
      </c>
      <c r="J653">
        <v>2697</v>
      </c>
    </row>
    <row r="654" spans="1:10" x14ac:dyDescent="0.3">
      <c r="A654">
        <v>1551</v>
      </c>
      <c r="B654" t="s">
        <v>459</v>
      </c>
      <c r="C654" t="str">
        <f>TEXT(Sales[[#This Row],[Order_Date]],"mmm")</f>
        <v>Jun</v>
      </c>
      <c r="D654" t="s">
        <v>216</v>
      </c>
      <c r="E654" t="s">
        <v>42</v>
      </c>
      <c r="F654" t="s">
        <v>136</v>
      </c>
      <c r="G654" t="s">
        <v>46</v>
      </c>
      <c r="H654">
        <v>1</v>
      </c>
      <c r="I654">
        <v>4047</v>
      </c>
      <c r="J654">
        <v>4047</v>
      </c>
    </row>
    <row r="655" spans="1:10" x14ac:dyDescent="0.3">
      <c r="A655">
        <v>1386</v>
      </c>
      <c r="B655" t="s">
        <v>297</v>
      </c>
      <c r="C655" t="str">
        <f>TEXT(Sales[[#This Row],[Order_Date]],"mmm")</f>
        <v>Oct</v>
      </c>
      <c r="D655" t="s">
        <v>276</v>
      </c>
      <c r="E655" t="s">
        <v>16</v>
      </c>
      <c r="F655" t="s">
        <v>89</v>
      </c>
      <c r="G655" t="s">
        <v>133</v>
      </c>
      <c r="H655">
        <v>1</v>
      </c>
      <c r="I655">
        <v>1886</v>
      </c>
      <c r="J655">
        <v>1886</v>
      </c>
    </row>
    <row r="656" spans="1:10" x14ac:dyDescent="0.3">
      <c r="A656">
        <v>1347</v>
      </c>
      <c r="B656" t="s">
        <v>84</v>
      </c>
      <c r="C656" t="str">
        <f>TEXT(Sales[[#This Row],[Order_Date]],"mmm")</f>
        <v>Mar</v>
      </c>
      <c r="D656" t="s">
        <v>350</v>
      </c>
      <c r="E656" t="s">
        <v>16</v>
      </c>
      <c r="F656" t="s">
        <v>89</v>
      </c>
      <c r="G656" t="s">
        <v>95</v>
      </c>
      <c r="H656">
        <v>4</v>
      </c>
      <c r="I656">
        <v>817</v>
      </c>
      <c r="J656">
        <v>3268</v>
      </c>
    </row>
    <row r="657" spans="1:10" x14ac:dyDescent="0.3">
      <c r="A657">
        <v>1294</v>
      </c>
      <c r="B657" t="s">
        <v>186</v>
      </c>
      <c r="C657" t="str">
        <f>TEXT(Sales[[#This Row],[Order_Date]],"mmm")</f>
        <v>May</v>
      </c>
      <c r="D657" t="s">
        <v>485</v>
      </c>
      <c r="E657" t="s">
        <v>16</v>
      </c>
      <c r="F657" t="s">
        <v>89</v>
      </c>
      <c r="G657" t="s">
        <v>133</v>
      </c>
      <c r="H657">
        <v>5</v>
      </c>
      <c r="I657">
        <v>953</v>
      </c>
      <c r="J657">
        <v>4765</v>
      </c>
    </row>
    <row r="658" spans="1:10" x14ac:dyDescent="0.3">
      <c r="A658">
        <v>1344</v>
      </c>
      <c r="B658" t="s">
        <v>600</v>
      </c>
      <c r="C658" t="str">
        <f>TEXT(Sales[[#This Row],[Order_Date]],"mmm")</f>
        <v>May</v>
      </c>
      <c r="D658" t="s">
        <v>91</v>
      </c>
      <c r="E658" t="s">
        <v>25</v>
      </c>
      <c r="F658" t="s">
        <v>136</v>
      </c>
      <c r="G658" t="s">
        <v>46</v>
      </c>
      <c r="H658">
        <v>1</v>
      </c>
      <c r="I658">
        <v>2672</v>
      </c>
      <c r="J658">
        <v>2672</v>
      </c>
    </row>
    <row r="659" spans="1:10" x14ac:dyDescent="0.3">
      <c r="A659">
        <v>1552</v>
      </c>
      <c r="B659" t="s">
        <v>344</v>
      </c>
      <c r="C659" t="str">
        <f>TEXT(Sales[[#This Row],[Order_Date]],"mmm")</f>
        <v>Jun</v>
      </c>
      <c r="D659" t="s">
        <v>432</v>
      </c>
      <c r="E659" t="s">
        <v>16</v>
      </c>
      <c r="F659" t="s">
        <v>136</v>
      </c>
      <c r="G659" t="s">
        <v>46</v>
      </c>
      <c r="H659">
        <v>5</v>
      </c>
      <c r="I659">
        <v>1679</v>
      </c>
      <c r="J659">
        <v>8395</v>
      </c>
    </row>
    <row r="660" spans="1:10" x14ac:dyDescent="0.3">
      <c r="A660">
        <v>1528</v>
      </c>
      <c r="B660" t="s">
        <v>90</v>
      </c>
      <c r="C660" t="str">
        <f>TEXT(Sales[[#This Row],[Order_Date]],"mmm")</f>
        <v>Apr</v>
      </c>
      <c r="D660" t="s">
        <v>526</v>
      </c>
      <c r="E660" t="s">
        <v>42</v>
      </c>
      <c r="F660" t="s">
        <v>136</v>
      </c>
      <c r="G660" t="s">
        <v>128</v>
      </c>
      <c r="H660">
        <v>5</v>
      </c>
      <c r="I660">
        <v>3753</v>
      </c>
      <c r="J660">
        <v>18765</v>
      </c>
    </row>
    <row r="661" spans="1:10" x14ac:dyDescent="0.3">
      <c r="A661">
        <v>1061</v>
      </c>
      <c r="B661" t="s">
        <v>181</v>
      </c>
      <c r="C661" t="str">
        <f>TEXT(Sales[[#This Row],[Order_Date]],"mmm")</f>
        <v>Sep</v>
      </c>
      <c r="D661" t="s">
        <v>432</v>
      </c>
      <c r="E661" t="s">
        <v>16</v>
      </c>
      <c r="F661" t="s">
        <v>89</v>
      </c>
      <c r="G661" t="s">
        <v>75</v>
      </c>
      <c r="H661">
        <v>2</v>
      </c>
      <c r="I661">
        <v>2659</v>
      </c>
      <c r="J661">
        <v>5318</v>
      </c>
    </row>
    <row r="662" spans="1:10" x14ac:dyDescent="0.3">
      <c r="A662">
        <v>1065</v>
      </c>
      <c r="B662" t="s">
        <v>509</v>
      </c>
      <c r="C662" t="str">
        <f>TEXT(Sales[[#This Row],[Order_Date]],"mmm")</f>
        <v>Nov</v>
      </c>
      <c r="D662" t="s">
        <v>236</v>
      </c>
      <c r="E662" t="s">
        <v>11</v>
      </c>
      <c r="F662" t="s">
        <v>136</v>
      </c>
      <c r="G662" t="s">
        <v>22</v>
      </c>
      <c r="H662">
        <v>3</v>
      </c>
      <c r="I662">
        <v>2134</v>
      </c>
      <c r="J662">
        <v>6402</v>
      </c>
    </row>
    <row r="663" spans="1:10" x14ac:dyDescent="0.3">
      <c r="A663">
        <v>1196</v>
      </c>
      <c r="B663" t="s">
        <v>601</v>
      </c>
      <c r="C663" t="str">
        <f>TEXT(Sales[[#This Row],[Order_Date]],"mmm")</f>
        <v>Jan</v>
      </c>
      <c r="D663" t="s">
        <v>135</v>
      </c>
      <c r="E663" t="s">
        <v>11</v>
      </c>
      <c r="F663" t="s">
        <v>89</v>
      </c>
      <c r="G663" t="s">
        <v>75</v>
      </c>
      <c r="H663">
        <v>4</v>
      </c>
      <c r="I663">
        <v>503</v>
      </c>
      <c r="J663">
        <v>2012</v>
      </c>
    </row>
    <row r="664" spans="1:10" x14ac:dyDescent="0.3">
      <c r="A664">
        <v>1029</v>
      </c>
      <c r="B664" t="s">
        <v>428</v>
      </c>
      <c r="C664" t="str">
        <f>TEXT(Sales[[#This Row],[Order_Date]],"mmm")</f>
        <v>May</v>
      </c>
      <c r="D664" t="s">
        <v>420</v>
      </c>
      <c r="E664" t="s">
        <v>42</v>
      </c>
      <c r="F664" t="s">
        <v>89</v>
      </c>
      <c r="G664" t="s">
        <v>133</v>
      </c>
      <c r="H664">
        <v>4</v>
      </c>
      <c r="I664">
        <v>363</v>
      </c>
      <c r="J664">
        <v>1452</v>
      </c>
    </row>
    <row r="665" spans="1:10" x14ac:dyDescent="0.3">
      <c r="A665">
        <v>1321</v>
      </c>
      <c r="B665" t="s">
        <v>307</v>
      </c>
      <c r="C665" t="str">
        <f>TEXT(Sales[[#This Row],[Order_Date]],"mmm")</f>
        <v>Nov</v>
      </c>
      <c r="D665" t="s">
        <v>532</v>
      </c>
      <c r="E665" t="s">
        <v>25</v>
      </c>
      <c r="F665" t="s">
        <v>83</v>
      </c>
      <c r="G665" t="s">
        <v>78</v>
      </c>
      <c r="H665">
        <v>4</v>
      </c>
      <c r="I665">
        <v>1351</v>
      </c>
      <c r="J665">
        <v>5404</v>
      </c>
    </row>
    <row r="666" spans="1:10" x14ac:dyDescent="0.3">
      <c r="A666">
        <v>1512</v>
      </c>
      <c r="B666" t="s">
        <v>535</v>
      </c>
      <c r="C666" t="str">
        <f>TEXT(Sales[[#This Row],[Order_Date]],"mmm")</f>
        <v>Mar</v>
      </c>
      <c r="D666" t="s">
        <v>488</v>
      </c>
      <c r="E666" t="s">
        <v>16</v>
      </c>
      <c r="F666" t="s">
        <v>89</v>
      </c>
      <c r="G666" t="s">
        <v>75</v>
      </c>
      <c r="H666">
        <v>5</v>
      </c>
      <c r="I666">
        <v>1201</v>
      </c>
      <c r="J666">
        <v>6005</v>
      </c>
    </row>
    <row r="667" spans="1:10" x14ac:dyDescent="0.3">
      <c r="A667">
        <v>1598</v>
      </c>
      <c r="B667" t="s">
        <v>149</v>
      </c>
      <c r="C667" t="str">
        <f>TEXT(Sales[[#This Row],[Order_Date]],"mmm")</f>
        <v>Jul</v>
      </c>
      <c r="D667" t="s">
        <v>251</v>
      </c>
      <c r="E667" t="s">
        <v>11</v>
      </c>
      <c r="F667" t="s">
        <v>17</v>
      </c>
      <c r="G667" t="s">
        <v>53</v>
      </c>
      <c r="H667">
        <v>1</v>
      </c>
      <c r="I667">
        <v>1634</v>
      </c>
      <c r="J667">
        <v>1634</v>
      </c>
    </row>
    <row r="668" spans="1:10" x14ac:dyDescent="0.3">
      <c r="A668">
        <v>1418</v>
      </c>
      <c r="B668" t="s">
        <v>122</v>
      </c>
      <c r="C668" t="str">
        <f>TEXT(Sales[[#This Row],[Order_Date]],"mmm")</f>
        <v>May</v>
      </c>
      <c r="D668" t="s">
        <v>424</v>
      </c>
      <c r="E668" t="s">
        <v>25</v>
      </c>
      <c r="F668" t="s">
        <v>83</v>
      </c>
      <c r="G668" t="s">
        <v>78</v>
      </c>
      <c r="H668">
        <v>3</v>
      </c>
      <c r="I668">
        <v>4670</v>
      </c>
      <c r="J668">
        <v>14010</v>
      </c>
    </row>
    <row r="669" spans="1:10" x14ac:dyDescent="0.3">
      <c r="A669">
        <v>1284</v>
      </c>
      <c r="B669" t="s">
        <v>602</v>
      </c>
      <c r="C669" t="str">
        <f>TEXT(Sales[[#This Row],[Order_Date]],"mmm")</f>
        <v>Mar</v>
      </c>
      <c r="D669" t="s">
        <v>512</v>
      </c>
      <c r="E669" t="s">
        <v>42</v>
      </c>
      <c r="F669" t="s">
        <v>136</v>
      </c>
      <c r="G669" t="s">
        <v>22</v>
      </c>
      <c r="H669">
        <v>5</v>
      </c>
      <c r="I669">
        <v>485</v>
      </c>
      <c r="J669">
        <v>2425</v>
      </c>
    </row>
    <row r="670" spans="1:10" x14ac:dyDescent="0.3">
      <c r="A670">
        <v>1055</v>
      </c>
      <c r="B670" t="s">
        <v>421</v>
      </c>
      <c r="C670" t="str">
        <f>TEXT(Sales[[#This Row],[Order_Date]],"mmm")</f>
        <v>Dec</v>
      </c>
      <c r="D670" t="s">
        <v>316</v>
      </c>
      <c r="E670" t="s">
        <v>42</v>
      </c>
      <c r="F670" t="s">
        <v>17</v>
      </c>
      <c r="G670" t="s">
        <v>101</v>
      </c>
      <c r="H670">
        <v>3</v>
      </c>
      <c r="I670">
        <v>1199</v>
      </c>
      <c r="J670">
        <v>3597</v>
      </c>
    </row>
    <row r="671" spans="1:10" x14ac:dyDescent="0.3">
      <c r="A671">
        <v>1453</v>
      </c>
      <c r="B671" t="s">
        <v>423</v>
      </c>
      <c r="C671" t="str">
        <f>TEXT(Sales[[#This Row],[Order_Date]],"mmm")</f>
        <v>Jul</v>
      </c>
      <c r="D671" t="s">
        <v>530</v>
      </c>
      <c r="E671" t="s">
        <v>25</v>
      </c>
      <c r="F671" t="s">
        <v>136</v>
      </c>
      <c r="G671" t="s">
        <v>22</v>
      </c>
      <c r="H671">
        <v>2</v>
      </c>
      <c r="I671">
        <v>2636</v>
      </c>
      <c r="J671">
        <v>5272</v>
      </c>
    </row>
    <row r="672" spans="1:10" x14ac:dyDescent="0.3">
      <c r="A672">
        <v>1449</v>
      </c>
      <c r="B672" t="s">
        <v>603</v>
      </c>
      <c r="C672" t="str">
        <f>TEXT(Sales[[#This Row],[Order_Date]],"mmm")</f>
        <v>Nov</v>
      </c>
      <c r="D672" t="s">
        <v>372</v>
      </c>
      <c r="E672" t="s">
        <v>25</v>
      </c>
      <c r="F672" t="s">
        <v>136</v>
      </c>
      <c r="G672" t="s">
        <v>124</v>
      </c>
      <c r="H672">
        <v>4</v>
      </c>
      <c r="I672">
        <v>4059</v>
      </c>
      <c r="J672">
        <v>16236</v>
      </c>
    </row>
    <row r="673" spans="1:10" x14ac:dyDescent="0.3">
      <c r="A673">
        <v>1340</v>
      </c>
      <c r="B673" t="s">
        <v>466</v>
      </c>
      <c r="C673" t="str">
        <f>TEXT(Sales[[#This Row],[Order_Date]],"mmm")</f>
        <v>Aug</v>
      </c>
      <c r="D673" t="s">
        <v>324</v>
      </c>
      <c r="E673" t="s">
        <v>25</v>
      </c>
      <c r="F673" t="s">
        <v>83</v>
      </c>
      <c r="G673" t="s">
        <v>93</v>
      </c>
      <c r="H673">
        <v>3</v>
      </c>
      <c r="I673">
        <v>3647</v>
      </c>
      <c r="J673">
        <v>10941</v>
      </c>
    </row>
    <row r="674" spans="1:10" x14ac:dyDescent="0.3">
      <c r="A674">
        <v>1334</v>
      </c>
      <c r="B674" t="s">
        <v>86</v>
      </c>
      <c r="C674" t="str">
        <f>TEXT(Sales[[#This Row],[Order_Date]],"mmm")</f>
        <v>Aug</v>
      </c>
      <c r="D674" t="s">
        <v>547</v>
      </c>
      <c r="E674" t="s">
        <v>16</v>
      </c>
      <c r="F674" t="s">
        <v>83</v>
      </c>
      <c r="G674" t="s">
        <v>32</v>
      </c>
      <c r="H674">
        <v>2</v>
      </c>
      <c r="I674">
        <v>225</v>
      </c>
      <c r="J674">
        <v>450</v>
      </c>
    </row>
    <row r="675" spans="1:10" x14ac:dyDescent="0.3">
      <c r="A675">
        <v>1321</v>
      </c>
      <c r="B675" t="s">
        <v>520</v>
      </c>
      <c r="C675" t="str">
        <f>TEXT(Sales[[#This Row],[Order_Date]],"mmm")</f>
        <v>Oct</v>
      </c>
      <c r="D675" t="s">
        <v>132</v>
      </c>
      <c r="E675" t="s">
        <v>11</v>
      </c>
      <c r="F675" t="s">
        <v>83</v>
      </c>
      <c r="G675" t="s">
        <v>93</v>
      </c>
      <c r="H675">
        <v>5</v>
      </c>
      <c r="I675">
        <v>3561</v>
      </c>
      <c r="J675">
        <v>17805</v>
      </c>
    </row>
    <row r="676" spans="1:10" x14ac:dyDescent="0.3">
      <c r="A676">
        <v>1489</v>
      </c>
      <c r="B676" t="s">
        <v>604</v>
      </c>
      <c r="C676" t="str">
        <f>TEXT(Sales[[#This Row],[Order_Date]],"mmm")</f>
        <v>Mar</v>
      </c>
      <c r="D676" t="s">
        <v>481</v>
      </c>
      <c r="E676" t="s">
        <v>42</v>
      </c>
      <c r="F676" t="s">
        <v>17</v>
      </c>
      <c r="G676" t="s">
        <v>18</v>
      </c>
      <c r="H676">
        <v>2</v>
      </c>
      <c r="I676">
        <v>891</v>
      </c>
      <c r="J676">
        <v>1782</v>
      </c>
    </row>
    <row r="677" spans="1:10" x14ac:dyDescent="0.3">
      <c r="A677">
        <v>1386</v>
      </c>
      <c r="B677" t="s">
        <v>297</v>
      </c>
      <c r="C677" t="str">
        <f>TEXT(Sales[[#This Row],[Order_Date]],"mmm")</f>
        <v>Oct</v>
      </c>
      <c r="D677" t="s">
        <v>326</v>
      </c>
      <c r="E677" t="s">
        <v>25</v>
      </c>
      <c r="F677" t="s">
        <v>83</v>
      </c>
      <c r="G677" t="s">
        <v>32</v>
      </c>
      <c r="H677">
        <v>4</v>
      </c>
      <c r="I677">
        <v>1824</v>
      </c>
      <c r="J677">
        <v>7296</v>
      </c>
    </row>
    <row r="678" spans="1:10" x14ac:dyDescent="0.3">
      <c r="A678">
        <v>1050</v>
      </c>
      <c r="B678" t="s">
        <v>355</v>
      </c>
      <c r="C678" t="str">
        <f>TEXT(Sales[[#This Row],[Order_Date]],"mmm")</f>
        <v>Jul</v>
      </c>
      <c r="D678" t="s">
        <v>495</v>
      </c>
      <c r="E678" t="s">
        <v>11</v>
      </c>
      <c r="F678" t="s">
        <v>136</v>
      </c>
      <c r="G678" t="s">
        <v>67</v>
      </c>
      <c r="H678">
        <v>1</v>
      </c>
      <c r="I678">
        <v>3214</v>
      </c>
      <c r="J678">
        <v>3214</v>
      </c>
    </row>
    <row r="679" spans="1:10" x14ac:dyDescent="0.3">
      <c r="A679">
        <v>1014</v>
      </c>
      <c r="B679" t="s">
        <v>558</v>
      </c>
      <c r="C679" t="str">
        <f>TEXT(Sales[[#This Row],[Order_Date]],"mmm")</f>
        <v>Sep</v>
      </c>
      <c r="D679" t="s">
        <v>194</v>
      </c>
      <c r="E679" t="s">
        <v>16</v>
      </c>
      <c r="F679" t="s">
        <v>136</v>
      </c>
      <c r="G679" t="s">
        <v>46</v>
      </c>
      <c r="H679">
        <v>2</v>
      </c>
      <c r="I679">
        <v>1760</v>
      </c>
      <c r="J679">
        <v>3520</v>
      </c>
    </row>
    <row r="680" spans="1:10" x14ac:dyDescent="0.3">
      <c r="A680">
        <v>1272</v>
      </c>
      <c r="B680" t="s">
        <v>347</v>
      </c>
      <c r="C680" t="str">
        <f>TEXT(Sales[[#This Row],[Order_Date]],"mmm")</f>
        <v>May</v>
      </c>
      <c r="D680" t="s">
        <v>88</v>
      </c>
      <c r="E680" t="s">
        <v>11</v>
      </c>
      <c r="F680" t="s">
        <v>136</v>
      </c>
      <c r="G680" t="s">
        <v>46</v>
      </c>
      <c r="H680">
        <v>2</v>
      </c>
      <c r="I680">
        <v>1965</v>
      </c>
      <c r="J680">
        <v>3930</v>
      </c>
    </row>
    <row r="681" spans="1:10" x14ac:dyDescent="0.3">
      <c r="A681">
        <v>1193</v>
      </c>
      <c r="B681" t="s">
        <v>94</v>
      </c>
      <c r="C681" t="str">
        <f>TEXT(Sales[[#This Row],[Order_Date]],"mmm")</f>
        <v>Aug</v>
      </c>
      <c r="D681" t="s">
        <v>586</v>
      </c>
      <c r="E681" t="s">
        <v>42</v>
      </c>
      <c r="F681" t="s">
        <v>136</v>
      </c>
      <c r="G681" t="s">
        <v>128</v>
      </c>
      <c r="H681">
        <v>3</v>
      </c>
      <c r="I681">
        <v>2129</v>
      </c>
      <c r="J681">
        <v>6387</v>
      </c>
    </row>
    <row r="682" spans="1:10" x14ac:dyDescent="0.3">
      <c r="A682">
        <v>1378</v>
      </c>
      <c r="B682" t="s">
        <v>358</v>
      </c>
      <c r="C682" t="str">
        <f>TEXT(Sales[[#This Row],[Order_Date]],"mmm")</f>
        <v>Oct</v>
      </c>
      <c r="D682" t="s">
        <v>41</v>
      </c>
      <c r="E682" t="s">
        <v>16</v>
      </c>
      <c r="F682" t="s">
        <v>136</v>
      </c>
      <c r="G682" t="s">
        <v>124</v>
      </c>
      <c r="H682">
        <v>2</v>
      </c>
      <c r="I682">
        <v>2848</v>
      </c>
      <c r="J682">
        <v>5696</v>
      </c>
    </row>
    <row r="683" spans="1:10" x14ac:dyDescent="0.3">
      <c r="A683">
        <v>1217</v>
      </c>
      <c r="B683" t="s">
        <v>68</v>
      </c>
      <c r="C683" t="str">
        <f>TEXT(Sales[[#This Row],[Order_Date]],"mmm")</f>
        <v>Dec</v>
      </c>
      <c r="D683" t="s">
        <v>422</v>
      </c>
      <c r="E683" t="s">
        <v>25</v>
      </c>
      <c r="F683" t="s">
        <v>136</v>
      </c>
      <c r="G683" t="s">
        <v>67</v>
      </c>
      <c r="H683">
        <v>1</v>
      </c>
      <c r="I683">
        <v>4762</v>
      </c>
      <c r="J683">
        <v>4762</v>
      </c>
    </row>
    <row r="684" spans="1:10" x14ac:dyDescent="0.3">
      <c r="A684">
        <v>1240</v>
      </c>
      <c r="B684" t="s">
        <v>605</v>
      </c>
      <c r="C684" t="str">
        <f>TEXT(Sales[[#This Row],[Order_Date]],"mmm")</f>
        <v>Aug</v>
      </c>
      <c r="D684" t="s">
        <v>274</v>
      </c>
      <c r="E684" t="s">
        <v>42</v>
      </c>
      <c r="F684" t="s">
        <v>89</v>
      </c>
      <c r="G684" t="s">
        <v>133</v>
      </c>
      <c r="H684">
        <v>3</v>
      </c>
      <c r="I684">
        <v>4333</v>
      </c>
      <c r="J684">
        <v>12999</v>
      </c>
    </row>
    <row r="685" spans="1:10" x14ac:dyDescent="0.3">
      <c r="A685">
        <v>1404</v>
      </c>
      <c r="B685" t="s">
        <v>564</v>
      </c>
      <c r="C685" t="str">
        <f>TEXT(Sales[[#This Row],[Order_Date]],"mmm")</f>
        <v>Dec</v>
      </c>
      <c r="D685" t="s">
        <v>587</v>
      </c>
      <c r="E685" t="s">
        <v>11</v>
      </c>
      <c r="F685" t="s">
        <v>17</v>
      </c>
      <c r="G685" t="s">
        <v>18</v>
      </c>
      <c r="H685">
        <v>3</v>
      </c>
      <c r="I685">
        <v>1591</v>
      </c>
      <c r="J685">
        <v>4773</v>
      </c>
    </row>
    <row r="686" spans="1:10" x14ac:dyDescent="0.3">
      <c r="A686">
        <v>1479</v>
      </c>
      <c r="B686" t="s">
        <v>606</v>
      </c>
      <c r="C686" t="str">
        <f>TEXT(Sales[[#This Row],[Order_Date]],"mmm")</f>
        <v>Mar</v>
      </c>
      <c r="D686" t="s">
        <v>501</v>
      </c>
      <c r="E686" t="s">
        <v>11</v>
      </c>
      <c r="F686" t="s">
        <v>89</v>
      </c>
      <c r="G686" t="s">
        <v>133</v>
      </c>
      <c r="H686">
        <v>3</v>
      </c>
      <c r="I686">
        <v>1157</v>
      </c>
      <c r="J686">
        <v>3471</v>
      </c>
    </row>
    <row r="687" spans="1:10" x14ac:dyDescent="0.3">
      <c r="A687">
        <v>1511</v>
      </c>
      <c r="B687" t="s">
        <v>336</v>
      </c>
      <c r="C687" t="str">
        <f>TEXT(Sales[[#This Row],[Order_Date]],"mmm")</f>
        <v>May</v>
      </c>
      <c r="D687" t="s">
        <v>88</v>
      </c>
      <c r="E687" t="s">
        <v>42</v>
      </c>
      <c r="F687" t="s">
        <v>89</v>
      </c>
      <c r="G687" t="s">
        <v>75</v>
      </c>
      <c r="H687">
        <v>5</v>
      </c>
      <c r="I687">
        <v>2360</v>
      </c>
      <c r="J687">
        <v>11800</v>
      </c>
    </row>
    <row r="688" spans="1:10" x14ac:dyDescent="0.3">
      <c r="A688">
        <v>1168</v>
      </c>
      <c r="B688" t="s">
        <v>43</v>
      </c>
      <c r="C688" t="str">
        <f>TEXT(Sales[[#This Row],[Order_Date]],"mmm")</f>
        <v>Jun</v>
      </c>
      <c r="D688" t="s">
        <v>314</v>
      </c>
      <c r="E688" t="s">
        <v>42</v>
      </c>
      <c r="F688" t="s">
        <v>136</v>
      </c>
      <c r="G688" t="s">
        <v>128</v>
      </c>
      <c r="H688">
        <v>2</v>
      </c>
      <c r="I688">
        <v>1417</v>
      </c>
      <c r="J688">
        <v>2834</v>
      </c>
    </row>
    <row r="689" spans="1:10" x14ac:dyDescent="0.3">
      <c r="A689">
        <v>1481</v>
      </c>
      <c r="B689" t="s">
        <v>377</v>
      </c>
      <c r="C689" t="str">
        <f>TEXT(Sales[[#This Row],[Order_Date]],"mmm")</f>
        <v>May</v>
      </c>
      <c r="D689" t="s">
        <v>527</v>
      </c>
      <c r="E689" t="s">
        <v>16</v>
      </c>
      <c r="F689" t="s">
        <v>136</v>
      </c>
      <c r="G689" t="s">
        <v>46</v>
      </c>
      <c r="H689">
        <v>1</v>
      </c>
      <c r="I689">
        <v>3816</v>
      </c>
      <c r="J689">
        <v>3816</v>
      </c>
    </row>
    <row r="690" spans="1:10" x14ac:dyDescent="0.3">
      <c r="A690">
        <v>1496</v>
      </c>
      <c r="B690" t="s">
        <v>96</v>
      </c>
      <c r="C690" t="str">
        <f>TEXT(Sales[[#This Row],[Order_Date]],"mmm")</f>
        <v>Aug</v>
      </c>
      <c r="D690" t="s">
        <v>269</v>
      </c>
      <c r="E690" t="s">
        <v>25</v>
      </c>
      <c r="F690" t="s">
        <v>83</v>
      </c>
      <c r="G690" t="s">
        <v>93</v>
      </c>
      <c r="H690">
        <v>1</v>
      </c>
      <c r="I690">
        <v>1868</v>
      </c>
      <c r="J690">
        <v>1868</v>
      </c>
    </row>
    <row r="691" spans="1:10" x14ac:dyDescent="0.3">
      <c r="A691">
        <v>1172</v>
      </c>
      <c r="B691" t="s">
        <v>607</v>
      </c>
      <c r="C691" t="str">
        <f>TEXT(Sales[[#This Row],[Order_Date]],"mmm")</f>
        <v>Sep</v>
      </c>
      <c r="D691" t="s">
        <v>231</v>
      </c>
      <c r="E691" t="s">
        <v>42</v>
      </c>
      <c r="F691" t="s">
        <v>89</v>
      </c>
      <c r="G691" t="s">
        <v>133</v>
      </c>
      <c r="H691">
        <v>5</v>
      </c>
      <c r="I691">
        <v>4875</v>
      </c>
      <c r="J691">
        <v>24375</v>
      </c>
    </row>
    <row r="692" spans="1:10" x14ac:dyDescent="0.3">
      <c r="A692">
        <v>1252</v>
      </c>
      <c r="B692" t="s">
        <v>536</v>
      </c>
      <c r="C692" t="str">
        <f>TEXT(Sales[[#This Row],[Order_Date]],"mmm")</f>
        <v>Sep</v>
      </c>
      <c r="D692" t="s">
        <v>151</v>
      </c>
      <c r="E692" t="s">
        <v>42</v>
      </c>
      <c r="F692" t="s">
        <v>83</v>
      </c>
      <c r="G692" t="s">
        <v>112</v>
      </c>
      <c r="H692">
        <v>1</v>
      </c>
      <c r="I692">
        <v>3429</v>
      </c>
      <c r="J692">
        <v>3429</v>
      </c>
    </row>
    <row r="693" spans="1:10" x14ac:dyDescent="0.3">
      <c r="A693">
        <v>1108</v>
      </c>
      <c r="B693" t="s">
        <v>448</v>
      </c>
      <c r="C693" t="str">
        <f>TEXT(Sales[[#This Row],[Order_Date]],"mmm")</f>
        <v>Jun</v>
      </c>
      <c r="D693" t="s">
        <v>438</v>
      </c>
      <c r="E693" t="s">
        <v>657</v>
      </c>
      <c r="F693" t="s">
        <v>83</v>
      </c>
      <c r="G693" t="s">
        <v>32</v>
      </c>
      <c r="H693">
        <v>4</v>
      </c>
      <c r="I693">
        <v>2406</v>
      </c>
      <c r="J693">
        <v>9624</v>
      </c>
    </row>
    <row r="694" spans="1:10" x14ac:dyDescent="0.3">
      <c r="A694">
        <v>1044</v>
      </c>
      <c r="B694" t="s">
        <v>540</v>
      </c>
      <c r="C694" t="str">
        <f>TEXT(Sales[[#This Row],[Order_Date]],"mmm")</f>
        <v>Dec</v>
      </c>
      <c r="D694" t="s">
        <v>477</v>
      </c>
      <c r="E694" t="s">
        <v>16</v>
      </c>
      <c r="F694" t="s">
        <v>136</v>
      </c>
      <c r="G694" t="s">
        <v>22</v>
      </c>
      <c r="H694">
        <v>1</v>
      </c>
      <c r="I694">
        <v>2517</v>
      </c>
      <c r="J694">
        <v>2517</v>
      </c>
    </row>
    <row r="695" spans="1:10" x14ac:dyDescent="0.3">
      <c r="A695">
        <v>1072</v>
      </c>
      <c r="B695" t="s">
        <v>487</v>
      </c>
      <c r="C695" t="str">
        <f>TEXT(Sales[[#This Row],[Order_Date]],"mmm")</f>
        <v>Oct</v>
      </c>
      <c r="D695" t="s">
        <v>193</v>
      </c>
      <c r="E695" t="s">
        <v>42</v>
      </c>
      <c r="F695" t="s">
        <v>136</v>
      </c>
      <c r="G695" t="s">
        <v>124</v>
      </c>
      <c r="H695">
        <v>2</v>
      </c>
      <c r="I695">
        <v>2166</v>
      </c>
      <c r="J695">
        <v>4332</v>
      </c>
    </row>
    <row r="696" spans="1:10" x14ac:dyDescent="0.3">
      <c r="A696">
        <v>1091</v>
      </c>
      <c r="B696" t="s">
        <v>298</v>
      </c>
      <c r="C696" t="str">
        <f>TEXT(Sales[[#This Row],[Order_Date]],"mmm")</f>
        <v>Jan</v>
      </c>
      <c r="D696" t="s">
        <v>150</v>
      </c>
      <c r="E696" t="s">
        <v>11</v>
      </c>
      <c r="F696" t="s">
        <v>17</v>
      </c>
      <c r="G696" t="s">
        <v>114</v>
      </c>
      <c r="H696">
        <v>3</v>
      </c>
      <c r="I696">
        <v>1462</v>
      </c>
      <c r="J696">
        <v>4386</v>
      </c>
    </row>
    <row r="697" spans="1:10" x14ac:dyDescent="0.3">
      <c r="A697">
        <v>1442</v>
      </c>
      <c r="B697" t="s">
        <v>427</v>
      </c>
      <c r="C697" t="str">
        <f>TEXT(Sales[[#This Row],[Order_Date]],"mmm")</f>
        <v>Jun</v>
      </c>
      <c r="D697" t="s">
        <v>608</v>
      </c>
      <c r="E697" t="s">
        <v>25</v>
      </c>
      <c r="F697" t="s">
        <v>17</v>
      </c>
      <c r="G697" t="s">
        <v>101</v>
      </c>
      <c r="H697">
        <v>5</v>
      </c>
      <c r="I697">
        <v>1837</v>
      </c>
      <c r="J697">
        <v>9185</v>
      </c>
    </row>
    <row r="698" spans="1:10" x14ac:dyDescent="0.3">
      <c r="A698">
        <v>1487</v>
      </c>
      <c r="B698" t="s">
        <v>569</v>
      </c>
      <c r="C698" t="str">
        <f>TEXT(Sales[[#This Row],[Order_Date]],"mmm")</f>
        <v>May</v>
      </c>
      <c r="D698" t="s">
        <v>222</v>
      </c>
      <c r="E698" t="s">
        <v>25</v>
      </c>
      <c r="F698" t="s">
        <v>136</v>
      </c>
      <c r="G698" t="s">
        <v>124</v>
      </c>
      <c r="H698">
        <v>5</v>
      </c>
      <c r="I698">
        <v>1726</v>
      </c>
      <c r="J698">
        <v>8630</v>
      </c>
    </row>
    <row r="699" spans="1:10" x14ac:dyDescent="0.3">
      <c r="A699">
        <v>1041</v>
      </c>
      <c r="B699" t="s">
        <v>254</v>
      </c>
      <c r="C699" t="str">
        <f>TEXT(Sales[[#This Row],[Order_Date]],"mmm")</f>
        <v>Sep</v>
      </c>
      <c r="D699" t="s">
        <v>162</v>
      </c>
      <c r="E699" t="s">
        <v>16</v>
      </c>
      <c r="F699" t="s">
        <v>136</v>
      </c>
      <c r="G699" t="s">
        <v>128</v>
      </c>
      <c r="H699">
        <v>5</v>
      </c>
      <c r="I699">
        <v>4498</v>
      </c>
      <c r="J699">
        <v>22490</v>
      </c>
    </row>
    <row r="700" spans="1:10" x14ac:dyDescent="0.3">
      <c r="A700">
        <v>1081</v>
      </c>
      <c r="B700" t="s">
        <v>531</v>
      </c>
      <c r="C700" t="str">
        <f>TEXT(Sales[[#This Row],[Order_Date]],"mmm")</f>
        <v>Sep</v>
      </c>
      <c r="D700" t="s">
        <v>532</v>
      </c>
      <c r="E700" t="s">
        <v>16</v>
      </c>
      <c r="F700" t="s">
        <v>17</v>
      </c>
      <c r="G700" t="s">
        <v>114</v>
      </c>
      <c r="H700">
        <v>5</v>
      </c>
      <c r="I700">
        <v>3703</v>
      </c>
      <c r="J700">
        <v>18515</v>
      </c>
    </row>
    <row r="701" spans="1:10" x14ac:dyDescent="0.3">
      <c r="A701">
        <v>1078</v>
      </c>
      <c r="B701" t="s">
        <v>134</v>
      </c>
      <c r="C701" t="str">
        <f>TEXT(Sales[[#This Row],[Order_Date]],"mmm")</f>
        <v>Jan</v>
      </c>
      <c r="D701" t="s">
        <v>498</v>
      </c>
      <c r="E701" t="s">
        <v>11</v>
      </c>
      <c r="F701" t="s">
        <v>83</v>
      </c>
      <c r="G701" t="s">
        <v>57</v>
      </c>
      <c r="H701">
        <v>1</v>
      </c>
      <c r="I701">
        <v>4006</v>
      </c>
      <c r="J701">
        <v>4006</v>
      </c>
    </row>
    <row r="702" spans="1:10" x14ac:dyDescent="0.3">
      <c r="A702">
        <v>1259</v>
      </c>
      <c r="B702" t="s">
        <v>383</v>
      </c>
      <c r="C702" t="str">
        <f>TEXT(Sales[[#This Row],[Order_Date]],"mmm")</f>
        <v>Jun</v>
      </c>
      <c r="D702" t="s">
        <v>453</v>
      </c>
      <c r="E702" t="s">
        <v>25</v>
      </c>
      <c r="F702" t="s">
        <v>83</v>
      </c>
      <c r="G702" t="s">
        <v>57</v>
      </c>
      <c r="H702">
        <v>4</v>
      </c>
      <c r="I702">
        <v>1670</v>
      </c>
      <c r="J702">
        <v>6680</v>
      </c>
    </row>
    <row r="703" spans="1:10" x14ac:dyDescent="0.3">
      <c r="A703">
        <v>1046</v>
      </c>
      <c r="B703" t="s">
        <v>410</v>
      </c>
      <c r="C703" t="str">
        <f>TEXT(Sales[[#This Row],[Order_Date]],"mmm")</f>
        <v>Feb</v>
      </c>
      <c r="D703" t="s">
        <v>245</v>
      </c>
      <c r="E703" t="s">
        <v>16</v>
      </c>
      <c r="F703" t="s">
        <v>89</v>
      </c>
      <c r="G703" t="s">
        <v>95</v>
      </c>
      <c r="H703">
        <v>5</v>
      </c>
      <c r="I703">
        <v>2371</v>
      </c>
      <c r="J703">
        <v>11855</v>
      </c>
    </row>
    <row r="704" spans="1:10" x14ac:dyDescent="0.3">
      <c r="A704">
        <v>1191</v>
      </c>
      <c r="B704" t="s">
        <v>166</v>
      </c>
      <c r="C704" t="str">
        <f>TEXT(Sales[[#This Row],[Order_Date]],"mmm")</f>
        <v>Apr</v>
      </c>
      <c r="D704" t="s">
        <v>390</v>
      </c>
      <c r="E704" t="s">
        <v>25</v>
      </c>
      <c r="F704" t="s">
        <v>83</v>
      </c>
      <c r="G704" t="s">
        <v>657</v>
      </c>
      <c r="H704">
        <v>4</v>
      </c>
      <c r="I704">
        <v>4577</v>
      </c>
      <c r="J704">
        <v>18308</v>
      </c>
    </row>
    <row r="705" spans="1:10" x14ac:dyDescent="0.3">
      <c r="A705">
        <v>1013</v>
      </c>
      <c r="B705" t="s">
        <v>609</v>
      </c>
      <c r="C705" t="str">
        <f>TEXT(Sales[[#This Row],[Order_Date]],"mmm")</f>
        <v>Mar</v>
      </c>
      <c r="D705" t="s">
        <v>130</v>
      </c>
      <c r="E705" t="s">
        <v>16</v>
      </c>
      <c r="F705" t="s">
        <v>136</v>
      </c>
      <c r="G705" t="s">
        <v>46</v>
      </c>
      <c r="H705">
        <v>3</v>
      </c>
      <c r="I705">
        <v>3155</v>
      </c>
      <c r="J705">
        <v>9465</v>
      </c>
    </row>
    <row r="706" spans="1:10" x14ac:dyDescent="0.3">
      <c r="A706">
        <v>1404</v>
      </c>
      <c r="B706" t="s">
        <v>242</v>
      </c>
      <c r="C706" t="str">
        <f>TEXT(Sales[[#This Row],[Order_Date]],"mmm")</f>
        <v>Jun</v>
      </c>
      <c r="D706" t="s">
        <v>501</v>
      </c>
      <c r="E706" t="s">
        <v>16</v>
      </c>
      <c r="F706" t="s">
        <v>17</v>
      </c>
      <c r="G706" t="s">
        <v>114</v>
      </c>
      <c r="H706">
        <v>1</v>
      </c>
      <c r="I706">
        <v>330</v>
      </c>
      <c r="J706">
        <v>330</v>
      </c>
    </row>
    <row r="707" spans="1:10" x14ac:dyDescent="0.3">
      <c r="A707">
        <v>1027</v>
      </c>
      <c r="B707" t="s">
        <v>528</v>
      </c>
      <c r="C707" t="str">
        <f>TEXT(Sales[[#This Row],[Order_Date]],"mmm")</f>
        <v>Apr</v>
      </c>
      <c r="D707" t="s">
        <v>544</v>
      </c>
      <c r="E707" t="s">
        <v>16</v>
      </c>
      <c r="F707" t="s">
        <v>17</v>
      </c>
      <c r="G707" t="s">
        <v>114</v>
      </c>
      <c r="H707">
        <v>1</v>
      </c>
      <c r="I707">
        <v>2665</v>
      </c>
      <c r="J707">
        <v>2665</v>
      </c>
    </row>
    <row r="708" spans="1:10" x14ac:dyDescent="0.3">
      <c r="A708">
        <v>1432</v>
      </c>
      <c r="B708" t="s">
        <v>401</v>
      </c>
      <c r="C708" t="str">
        <f>TEXT(Sales[[#This Row],[Order_Date]],"mmm")</f>
        <v>Jan</v>
      </c>
      <c r="D708" t="s">
        <v>157</v>
      </c>
      <c r="E708" t="s">
        <v>16</v>
      </c>
      <c r="F708" t="s">
        <v>17</v>
      </c>
      <c r="G708" t="s">
        <v>114</v>
      </c>
      <c r="H708">
        <v>4</v>
      </c>
      <c r="I708">
        <v>360</v>
      </c>
      <c r="J708">
        <v>1440</v>
      </c>
    </row>
    <row r="709" spans="1:10" x14ac:dyDescent="0.3">
      <c r="A709">
        <v>1206</v>
      </c>
      <c r="B709" t="s">
        <v>244</v>
      </c>
      <c r="C709" t="str">
        <f>TEXT(Sales[[#This Row],[Order_Date]],"mmm")</f>
        <v>May</v>
      </c>
      <c r="D709" t="s">
        <v>460</v>
      </c>
      <c r="E709" t="s">
        <v>42</v>
      </c>
      <c r="F709" t="s">
        <v>136</v>
      </c>
      <c r="G709" t="s">
        <v>124</v>
      </c>
      <c r="H709">
        <v>1</v>
      </c>
      <c r="I709">
        <v>3737</v>
      </c>
      <c r="J709">
        <v>3737</v>
      </c>
    </row>
    <row r="710" spans="1:10" x14ac:dyDescent="0.3">
      <c r="A710">
        <v>1592</v>
      </c>
      <c r="B710" t="s">
        <v>341</v>
      </c>
      <c r="C710" t="str">
        <f>TEXT(Sales[[#This Row],[Order_Date]],"mmm")</f>
        <v>Nov</v>
      </c>
      <c r="D710" t="s">
        <v>539</v>
      </c>
      <c r="E710" t="s">
        <v>11</v>
      </c>
      <c r="F710" t="s">
        <v>89</v>
      </c>
      <c r="G710" t="s">
        <v>27</v>
      </c>
      <c r="H710">
        <v>4</v>
      </c>
      <c r="I710">
        <v>4405</v>
      </c>
      <c r="J710">
        <v>17620</v>
      </c>
    </row>
    <row r="711" spans="1:10" x14ac:dyDescent="0.3">
      <c r="A711">
        <v>1499</v>
      </c>
      <c r="B711" t="s">
        <v>552</v>
      </c>
      <c r="C711" t="str">
        <f>TEXT(Sales[[#This Row],[Order_Date]],"mmm")</f>
        <v>Apr</v>
      </c>
      <c r="D711" t="s">
        <v>289</v>
      </c>
      <c r="E711" t="s">
        <v>11</v>
      </c>
      <c r="F711" t="s">
        <v>83</v>
      </c>
      <c r="G711" t="s">
        <v>57</v>
      </c>
      <c r="H711">
        <v>5</v>
      </c>
      <c r="I711">
        <v>2787</v>
      </c>
      <c r="J711">
        <v>13935</v>
      </c>
    </row>
    <row r="712" spans="1:10" x14ac:dyDescent="0.3">
      <c r="A712">
        <v>1427</v>
      </c>
      <c r="B712" t="s">
        <v>465</v>
      </c>
      <c r="C712" t="str">
        <f>TEXT(Sales[[#This Row],[Order_Date]],"mmm")</f>
        <v>Aug</v>
      </c>
      <c r="D712" t="s">
        <v>157</v>
      </c>
      <c r="E712" t="s">
        <v>16</v>
      </c>
      <c r="F712" t="s">
        <v>136</v>
      </c>
      <c r="G712" t="s">
        <v>67</v>
      </c>
      <c r="H712">
        <v>4</v>
      </c>
      <c r="I712">
        <v>370</v>
      </c>
      <c r="J712">
        <v>1480</v>
      </c>
    </row>
    <row r="713" spans="1:10" x14ac:dyDescent="0.3">
      <c r="A713">
        <v>1480</v>
      </c>
      <c r="B713" t="s">
        <v>23</v>
      </c>
      <c r="C713" t="str">
        <f>TEXT(Sales[[#This Row],[Order_Date]],"mmm")</f>
        <v>Jun</v>
      </c>
      <c r="D713" t="s">
        <v>179</v>
      </c>
      <c r="E713" t="s">
        <v>25</v>
      </c>
      <c r="F713" t="s">
        <v>17</v>
      </c>
      <c r="G713" t="s">
        <v>18</v>
      </c>
      <c r="H713">
        <v>5</v>
      </c>
      <c r="I713">
        <v>4037</v>
      </c>
      <c r="J713">
        <v>20185</v>
      </c>
    </row>
    <row r="714" spans="1:10" x14ac:dyDescent="0.3">
      <c r="A714">
        <v>1399</v>
      </c>
      <c r="B714" t="s">
        <v>577</v>
      </c>
      <c r="C714" t="str">
        <f>TEXT(Sales[[#This Row],[Order_Date]],"mmm")</f>
        <v>Aug</v>
      </c>
      <c r="D714" t="s">
        <v>34</v>
      </c>
      <c r="E714" t="s">
        <v>16</v>
      </c>
      <c r="F714" t="s">
        <v>89</v>
      </c>
      <c r="G714" t="s">
        <v>75</v>
      </c>
      <c r="H714">
        <v>3</v>
      </c>
      <c r="I714">
        <v>906</v>
      </c>
      <c r="J714">
        <v>2718</v>
      </c>
    </row>
    <row r="715" spans="1:10" x14ac:dyDescent="0.3">
      <c r="A715">
        <v>1204</v>
      </c>
      <c r="B715" t="s">
        <v>253</v>
      </c>
      <c r="C715" t="str">
        <f>TEXT(Sales[[#This Row],[Order_Date]],"mmm")</f>
        <v>Mar</v>
      </c>
      <c r="D715" t="s">
        <v>201</v>
      </c>
      <c r="E715" t="s">
        <v>16</v>
      </c>
      <c r="F715" t="s">
        <v>136</v>
      </c>
      <c r="G715" t="s">
        <v>124</v>
      </c>
      <c r="H715">
        <v>3</v>
      </c>
      <c r="I715">
        <v>2122</v>
      </c>
      <c r="J715">
        <v>6366</v>
      </c>
    </row>
    <row r="716" spans="1:10" x14ac:dyDescent="0.3">
      <c r="A716">
        <v>1018</v>
      </c>
      <c r="B716" t="s">
        <v>541</v>
      </c>
      <c r="C716" t="str">
        <f>TEXT(Sales[[#This Row],[Order_Date]],"mmm")</f>
        <v>Jul</v>
      </c>
      <c r="D716" t="s">
        <v>99</v>
      </c>
      <c r="E716" t="s">
        <v>11</v>
      </c>
      <c r="F716" t="s">
        <v>89</v>
      </c>
      <c r="G716" t="s">
        <v>95</v>
      </c>
      <c r="H716">
        <v>5</v>
      </c>
      <c r="I716">
        <v>461</v>
      </c>
      <c r="J716">
        <v>2305</v>
      </c>
    </row>
    <row r="717" spans="1:10" x14ac:dyDescent="0.3">
      <c r="A717">
        <v>1116</v>
      </c>
      <c r="B717" t="s">
        <v>522</v>
      </c>
      <c r="C717" t="str">
        <f>TEXT(Sales[[#This Row],[Order_Date]],"mmm")</f>
        <v>Nov</v>
      </c>
      <c r="D717" t="s">
        <v>457</v>
      </c>
      <c r="E717" t="s">
        <v>16</v>
      </c>
      <c r="F717" t="s">
        <v>83</v>
      </c>
      <c r="G717" t="s">
        <v>57</v>
      </c>
      <c r="H717">
        <v>3</v>
      </c>
      <c r="I717">
        <v>2987</v>
      </c>
      <c r="J717">
        <v>8961</v>
      </c>
    </row>
    <row r="718" spans="1:10" x14ac:dyDescent="0.3">
      <c r="A718">
        <v>1570</v>
      </c>
      <c r="B718" t="s">
        <v>357</v>
      </c>
      <c r="C718" t="str">
        <f>TEXT(Sales[[#This Row],[Order_Date]],"mmm")</f>
        <v>May</v>
      </c>
      <c r="D718" t="s">
        <v>388</v>
      </c>
      <c r="E718" t="s">
        <v>42</v>
      </c>
      <c r="F718" t="s">
        <v>17</v>
      </c>
      <c r="G718" t="s">
        <v>18</v>
      </c>
      <c r="H718">
        <v>4</v>
      </c>
      <c r="I718">
        <v>3944</v>
      </c>
      <c r="J718">
        <v>15776</v>
      </c>
    </row>
    <row r="719" spans="1:10" x14ac:dyDescent="0.3">
      <c r="A719">
        <v>1108</v>
      </c>
      <c r="B719" t="s">
        <v>403</v>
      </c>
      <c r="C719" t="str">
        <f>TEXT(Sales[[#This Row],[Order_Date]],"mmm")</f>
        <v>Nov</v>
      </c>
      <c r="D719" t="s">
        <v>610</v>
      </c>
      <c r="E719" t="s">
        <v>25</v>
      </c>
      <c r="F719" t="s">
        <v>83</v>
      </c>
      <c r="G719" t="s">
        <v>57</v>
      </c>
      <c r="H719">
        <v>2</v>
      </c>
      <c r="I719">
        <v>1167</v>
      </c>
      <c r="J719">
        <v>2334</v>
      </c>
    </row>
    <row r="720" spans="1:10" x14ac:dyDescent="0.3">
      <c r="A720">
        <v>1160</v>
      </c>
      <c r="B720" t="s">
        <v>611</v>
      </c>
      <c r="C720" t="str">
        <f>TEXT(Sales[[#This Row],[Order_Date]],"mmm")</f>
        <v>May</v>
      </c>
      <c r="D720" t="s">
        <v>381</v>
      </c>
      <c r="E720" t="s">
        <v>25</v>
      </c>
      <c r="F720" t="s">
        <v>136</v>
      </c>
      <c r="G720" t="s">
        <v>67</v>
      </c>
      <c r="H720">
        <v>2</v>
      </c>
      <c r="I720">
        <v>3179</v>
      </c>
      <c r="J720">
        <v>6358</v>
      </c>
    </row>
    <row r="721" spans="1:10" x14ac:dyDescent="0.3">
      <c r="A721">
        <v>1206</v>
      </c>
      <c r="B721" t="s">
        <v>190</v>
      </c>
      <c r="C721" t="str">
        <f>TEXT(Sales[[#This Row],[Order_Date]],"mmm")</f>
        <v>Aug</v>
      </c>
      <c r="D721" t="s">
        <v>534</v>
      </c>
      <c r="E721" t="s">
        <v>16</v>
      </c>
      <c r="F721" t="s">
        <v>136</v>
      </c>
      <c r="G721" t="s">
        <v>124</v>
      </c>
      <c r="H721">
        <v>3</v>
      </c>
      <c r="I721">
        <v>2549</v>
      </c>
      <c r="J721">
        <v>7647</v>
      </c>
    </row>
    <row r="722" spans="1:10" x14ac:dyDescent="0.3">
      <c r="A722">
        <v>1381</v>
      </c>
      <c r="B722" t="s">
        <v>147</v>
      </c>
      <c r="C722" t="str">
        <f>TEXT(Sales[[#This Row],[Order_Date]],"mmm")</f>
        <v>Jul</v>
      </c>
      <c r="D722" t="s">
        <v>512</v>
      </c>
      <c r="E722" t="s">
        <v>16</v>
      </c>
      <c r="F722" t="s">
        <v>17</v>
      </c>
      <c r="G722" t="s">
        <v>114</v>
      </c>
      <c r="H722">
        <v>2</v>
      </c>
      <c r="I722">
        <v>3712</v>
      </c>
      <c r="J722">
        <v>7424</v>
      </c>
    </row>
    <row r="723" spans="1:10" x14ac:dyDescent="0.3">
      <c r="A723">
        <v>1469</v>
      </c>
      <c r="B723" t="s">
        <v>510</v>
      </c>
      <c r="C723" t="str">
        <f>TEXT(Sales[[#This Row],[Order_Date]],"mmm")</f>
        <v>Sep</v>
      </c>
      <c r="D723" t="s">
        <v>581</v>
      </c>
      <c r="E723" t="s">
        <v>11</v>
      </c>
      <c r="F723" t="s">
        <v>89</v>
      </c>
      <c r="G723" t="s">
        <v>27</v>
      </c>
      <c r="H723">
        <v>1</v>
      </c>
      <c r="I723">
        <v>4438</v>
      </c>
      <c r="J723">
        <v>4438</v>
      </c>
    </row>
    <row r="724" spans="1:10" x14ac:dyDescent="0.3">
      <c r="A724">
        <v>1322</v>
      </c>
      <c r="B724" t="s">
        <v>355</v>
      </c>
      <c r="C724" t="str">
        <f>TEXT(Sales[[#This Row],[Order_Date]],"mmm")</f>
        <v>Jul</v>
      </c>
      <c r="D724" t="s">
        <v>284</v>
      </c>
      <c r="E724" t="s">
        <v>11</v>
      </c>
      <c r="F724" t="s">
        <v>17</v>
      </c>
      <c r="G724" t="s">
        <v>53</v>
      </c>
      <c r="H724">
        <v>1</v>
      </c>
      <c r="I724">
        <v>1436</v>
      </c>
      <c r="J724">
        <v>1436</v>
      </c>
    </row>
    <row r="725" spans="1:10" x14ac:dyDescent="0.3">
      <c r="A725">
        <v>1532</v>
      </c>
      <c r="B725" t="s">
        <v>225</v>
      </c>
      <c r="C725" t="str">
        <f>TEXT(Sales[[#This Row],[Order_Date]],"mmm")</f>
        <v>May</v>
      </c>
      <c r="D725" t="s">
        <v>333</v>
      </c>
      <c r="E725" t="s">
        <v>25</v>
      </c>
      <c r="F725" t="s">
        <v>136</v>
      </c>
      <c r="G725" t="s">
        <v>67</v>
      </c>
      <c r="H725">
        <v>3</v>
      </c>
      <c r="I725">
        <v>264</v>
      </c>
      <c r="J725">
        <v>792</v>
      </c>
    </row>
    <row r="726" spans="1:10" x14ac:dyDescent="0.3">
      <c r="A726">
        <v>1150</v>
      </c>
      <c r="B726" t="s">
        <v>360</v>
      </c>
      <c r="C726" t="str">
        <f>TEXT(Sales[[#This Row],[Order_Date]],"mmm")</f>
        <v>Dec</v>
      </c>
      <c r="D726" t="s">
        <v>80</v>
      </c>
      <c r="E726" t="s">
        <v>25</v>
      </c>
      <c r="F726" t="s">
        <v>136</v>
      </c>
      <c r="G726" t="s">
        <v>128</v>
      </c>
      <c r="H726">
        <v>4</v>
      </c>
      <c r="I726">
        <v>1816</v>
      </c>
      <c r="J726">
        <v>7264</v>
      </c>
    </row>
    <row r="727" spans="1:10" x14ac:dyDescent="0.3">
      <c r="A727">
        <v>1550</v>
      </c>
      <c r="B727" t="s">
        <v>434</v>
      </c>
      <c r="C727" t="str">
        <f>TEXT(Sales[[#This Row],[Order_Date]],"mmm")</f>
        <v>Jun</v>
      </c>
      <c r="D727" t="s">
        <v>276</v>
      </c>
      <c r="E727" t="s">
        <v>16</v>
      </c>
      <c r="F727" t="s">
        <v>17</v>
      </c>
      <c r="G727" t="s">
        <v>18</v>
      </c>
      <c r="H727">
        <v>1</v>
      </c>
      <c r="I727">
        <v>4391</v>
      </c>
      <c r="J727">
        <v>4391</v>
      </c>
    </row>
    <row r="728" spans="1:10" x14ac:dyDescent="0.3">
      <c r="A728">
        <v>1163</v>
      </c>
      <c r="B728" t="s">
        <v>401</v>
      </c>
      <c r="C728" t="str">
        <f>TEXT(Sales[[#This Row],[Order_Date]],"mmm")</f>
        <v>Jan</v>
      </c>
      <c r="D728" t="s">
        <v>442</v>
      </c>
      <c r="E728" t="s">
        <v>11</v>
      </c>
      <c r="F728" t="s">
        <v>89</v>
      </c>
      <c r="G728" t="s">
        <v>13</v>
      </c>
      <c r="H728">
        <v>5</v>
      </c>
      <c r="I728">
        <v>1104</v>
      </c>
      <c r="J728">
        <v>5520</v>
      </c>
    </row>
    <row r="729" spans="1:10" x14ac:dyDescent="0.3">
      <c r="A729">
        <v>1265</v>
      </c>
      <c r="B729" t="s">
        <v>268</v>
      </c>
      <c r="C729" t="str">
        <f>TEXT(Sales[[#This Row],[Order_Date]],"mmm")</f>
        <v>Nov</v>
      </c>
      <c r="D729" t="s">
        <v>562</v>
      </c>
      <c r="E729" t="s">
        <v>657</v>
      </c>
      <c r="F729" t="s">
        <v>89</v>
      </c>
      <c r="G729" t="s">
        <v>27</v>
      </c>
      <c r="H729">
        <v>4</v>
      </c>
      <c r="I729">
        <v>2640</v>
      </c>
      <c r="J729">
        <v>10560</v>
      </c>
    </row>
    <row r="730" spans="1:10" x14ac:dyDescent="0.3">
      <c r="A730">
        <v>1347</v>
      </c>
      <c r="B730" t="s">
        <v>266</v>
      </c>
      <c r="C730" t="str">
        <f>TEXT(Sales[[#This Row],[Order_Date]],"mmm")</f>
        <v>Apr</v>
      </c>
      <c r="D730" t="s">
        <v>251</v>
      </c>
      <c r="E730" t="s">
        <v>42</v>
      </c>
      <c r="F730" t="s">
        <v>17</v>
      </c>
      <c r="G730" t="s">
        <v>101</v>
      </c>
      <c r="H730">
        <v>5</v>
      </c>
      <c r="I730">
        <v>1346</v>
      </c>
      <c r="J730">
        <v>6730</v>
      </c>
    </row>
    <row r="731" spans="1:10" x14ac:dyDescent="0.3">
      <c r="A731">
        <v>1253</v>
      </c>
      <c r="B731" t="s">
        <v>399</v>
      </c>
      <c r="C731" t="str">
        <f>TEXT(Sales[[#This Row],[Order_Date]],"mmm")</f>
        <v>Feb</v>
      </c>
      <c r="D731" t="s">
        <v>226</v>
      </c>
      <c r="E731" t="s">
        <v>25</v>
      </c>
      <c r="F731" t="s">
        <v>17</v>
      </c>
      <c r="G731" t="s">
        <v>101</v>
      </c>
      <c r="H731">
        <v>2</v>
      </c>
      <c r="I731">
        <v>3687</v>
      </c>
      <c r="J731">
        <v>7374</v>
      </c>
    </row>
    <row r="732" spans="1:10" x14ac:dyDescent="0.3">
      <c r="A732">
        <v>1063</v>
      </c>
      <c r="B732" t="s">
        <v>366</v>
      </c>
      <c r="C732" t="str">
        <f>TEXT(Sales[[#This Row],[Order_Date]],"mmm")</f>
        <v>Aug</v>
      </c>
      <c r="D732" t="s">
        <v>612</v>
      </c>
      <c r="E732" t="s">
        <v>16</v>
      </c>
      <c r="F732" t="s">
        <v>17</v>
      </c>
      <c r="G732" t="s">
        <v>53</v>
      </c>
      <c r="H732">
        <v>1</v>
      </c>
      <c r="I732">
        <v>3225</v>
      </c>
      <c r="J732">
        <v>3225</v>
      </c>
    </row>
    <row r="733" spans="1:10" x14ac:dyDescent="0.3">
      <c r="A733">
        <v>1572</v>
      </c>
      <c r="B733" t="s">
        <v>508</v>
      </c>
      <c r="C733" t="str">
        <f>TEXT(Sales[[#This Row],[Order_Date]],"mmm")</f>
        <v>Sep</v>
      </c>
      <c r="D733" t="s">
        <v>241</v>
      </c>
      <c r="E733" t="s">
        <v>11</v>
      </c>
      <c r="F733" t="s">
        <v>136</v>
      </c>
      <c r="G733" t="s">
        <v>22</v>
      </c>
      <c r="H733">
        <v>4</v>
      </c>
      <c r="I733">
        <v>4210</v>
      </c>
      <c r="J733">
        <v>16840</v>
      </c>
    </row>
    <row r="734" spans="1:10" x14ac:dyDescent="0.3">
      <c r="A734">
        <v>1166</v>
      </c>
      <c r="B734" t="s">
        <v>219</v>
      </c>
      <c r="C734" t="str">
        <f>TEXT(Sales[[#This Row],[Order_Date]],"mmm")</f>
        <v>Mar</v>
      </c>
      <c r="D734" t="s">
        <v>562</v>
      </c>
      <c r="E734" t="s">
        <v>11</v>
      </c>
      <c r="F734" t="s">
        <v>17</v>
      </c>
      <c r="G734" t="s">
        <v>53</v>
      </c>
      <c r="H734">
        <v>5</v>
      </c>
      <c r="I734">
        <v>4534</v>
      </c>
      <c r="J734">
        <v>22670</v>
      </c>
    </row>
    <row r="735" spans="1:10" x14ac:dyDescent="0.3">
      <c r="A735">
        <v>1484</v>
      </c>
      <c r="B735" t="s">
        <v>367</v>
      </c>
      <c r="C735" t="str">
        <f>TEXT(Sales[[#This Row],[Order_Date]],"mmm")</f>
        <v>Jan</v>
      </c>
      <c r="D735" t="s">
        <v>88</v>
      </c>
      <c r="E735" t="s">
        <v>25</v>
      </c>
      <c r="F735" t="s">
        <v>17</v>
      </c>
      <c r="G735" t="s">
        <v>18</v>
      </c>
      <c r="H735">
        <v>5</v>
      </c>
      <c r="I735">
        <v>3547</v>
      </c>
      <c r="J735">
        <v>17735</v>
      </c>
    </row>
    <row r="736" spans="1:10" x14ac:dyDescent="0.3">
      <c r="A736">
        <v>1296</v>
      </c>
      <c r="B736" t="s">
        <v>425</v>
      </c>
      <c r="C736" t="str">
        <f>TEXT(Sales[[#This Row],[Order_Date]],"mmm")</f>
        <v>Jan</v>
      </c>
      <c r="D736" t="s">
        <v>488</v>
      </c>
      <c r="E736" t="s">
        <v>42</v>
      </c>
      <c r="F736" t="s">
        <v>17</v>
      </c>
      <c r="G736" t="s">
        <v>72</v>
      </c>
      <c r="H736">
        <v>3</v>
      </c>
      <c r="I736">
        <v>2684</v>
      </c>
      <c r="J736">
        <v>8052</v>
      </c>
    </row>
    <row r="737" spans="1:10" x14ac:dyDescent="0.3">
      <c r="A737">
        <v>1146</v>
      </c>
      <c r="B737" t="s">
        <v>570</v>
      </c>
      <c r="C737" t="str">
        <f>TEXT(Sales[[#This Row],[Order_Date]],"mmm")</f>
        <v>Mar</v>
      </c>
      <c r="D737" t="s">
        <v>214</v>
      </c>
      <c r="E737" t="s">
        <v>42</v>
      </c>
      <c r="F737" t="s">
        <v>136</v>
      </c>
      <c r="G737" t="s">
        <v>124</v>
      </c>
      <c r="H737">
        <v>2</v>
      </c>
      <c r="I737">
        <v>1699</v>
      </c>
      <c r="J737">
        <v>3398</v>
      </c>
    </row>
    <row r="738" spans="1:10" x14ac:dyDescent="0.3">
      <c r="A738">
        <v>1125</v>
      </c>
      <c r="B738" t="s">
        <v>487</v>
      </c>
      <c r="C738" t="str">
        <f>TEXT(Sales[[#This Row],[Order_Date]],"mmm")</f>
        <v>Oct</v>
      </c>
      <c r="D738" t="s">
        <v>400</v>
      </c>
      <c r="E738" t="s">
        <v>16</v>
      </c>
      <c r="F738" t="s">
        <v>83</v>
      </c>
      <c r="G738" t="s">
        <v>32</v>
      </c>
      <c r="H738">
        <v>5</v>
      </c>
      <c r="I738">
        <v>2737</v>
      </c>
      <c r="J738">
        <v>13685</v>
      </c>
    </row>
    <row r="739" spans="1:10" x14ac:dyDescent="0.3">
      <c r="A739">
        <v>1386</v>
      </c>
      <c r="B739" t="s">
        <v>613</v>
      </c>
      <c r="C739" t="str">
        <f>TEXT(Sales[[#This Row],[Order_Date]],"mmm")</f>
        <v>Aug</v>
      </c>
      <c r="D739" t="s">
        <v>34</v>
      </c>
      <c r="E739" t="s">
        <v>16</v>
      </c>
      <c r="F739" t="s">
        <v>17</v>
      </c>
      <c r="G739" t="s">
        <v>114</v>
      </c>
      <c r="H739">
        <v>4</v>
      </c>
      <c r="I739">
        <v>1420</v>
      </c>
      <c r="J739">
        <v>5680</v>
      </c>
    </row>
    <row r="740" spans="1:10" x14ac:dyDescent="0.3">
      <c r="A740">
        <v>1419</v>
      </c>
      <c r="B740" t="s">
        <v>423</v>
      </c>
      <c r="C740" t="str">
        <f>TEXT(Sales[[#This Row],[Order_Date]],"mmm")</f>
        <v>Jul</v>
      </c>
      <c r="D740" t="s">
        <v>173</v>
      </c>
      <c r="E740" t="s">
        <v>16</v>
      </c>
      <c r="F740" t="s">
        <v>136</v>
      </c>
      <c r="G740" t="s">
        <v>22</v>
      </c>
      <c r="H740">
        <v>3</v>
      </c>
      <c r="I740">
        <v>925</v>
      </c>
      <c r="J740">
        <v>2775</v>
      </c>
    </row>
    <row r="741" spans="1:10" x14ac:dyDescent="0.3">
      <c r="A741">
        <v>1585</v>
      </c>
      <c r="B741" t="s">
        <v>200</v>
      </c>
      <c r="C741" t="str">
        <f>TEXT(Sales[[#This Row],[Order_Date]],"mmm")</f>
        <v>Nov</v>
      </c>
      <c r="D741" t="s">
        <v>581</v>
      </c>
      <c r="E741" t="s">
        <v>25</v>
      </c>
      <c r="F741" t="s">
        <v>89</v>
      </c>
      <c r="G741" t="s">
        <v>133</v>
      </c>
      <c r="H741">
        <v>2</v>
      </c>
      <c r="I741">
        <v>4638</v>
      </c>
      <c r="J741">
        <v>9276</v>
      </c>
    </row>
    <row r="742" spans="1:10" x14ac:dyDescent="0.3">
      <c r="A742">
        <v>1583</v>
      </c>
      <c r="B742" t="s">
        <v>181</v>
      </c>
      <c r="C742" t="str">
        <f>TEXT(Sales[[#This Row],[Order_Date]],"mmm")</f>
        <v>Sep</v>
      </c>
      <c r="D742" t="s">
        <v>375</v>
      </c>
      <c r="E742" t="s">
        <v>25</v>
      </c>
      <c r="F742" t="s">
        <v>136</v>
      </c>
      <c r="G742" t="s">
        <v>67</v>
      </c>
      <c r="H742">
        <v>5</v>
      </c>
      <c r="I742">
        <v>1672</v>
      </c>
      <c r="J742">
        <v>8360</v>
      </c>
    </row>
    <row r="743" spans="1:10" x14ac:dyDescent="0.3">
      <c r="A743">
        <v>1210</v>
      </c>
      <c r="B743" t="s">
        <v>328</v>
      </c>
      <c r="C743" t="str">
        <f>TEXT(Sales[[#This Row],[Order_Date]],"mmm")</f>
        <v>May</v>
      </c>
      <c r="D743" t="s">
        <v>293</v>
      </c>
      <c r="E743" t="s">
        <v>11</v>
      </c>
      <c r="F743" t="s">
        <v>136</v>
      </c>
      <c r="G743" t="s">
        <v>124</v>
      </c>
      <c r="H743">
        <v>5</v>
      </c>
      <c r="I743">
        <v>568</v>
      </c>
      <c r="J743">
        <v>2840</v>
      </c>
    </row>
    <row r="744" spans="1:10" x14ac:dyDescent="0.3">
      <c r="A744">
        <v>1348</v>
      </c>
      <c r="B744" t="s">
        <v>262</v>
      </c>
      <c r="C744" t="str">
        <f>TEXT(Sales[[#This Row],[Order_Date]],"mmm")</f>
        <v>Aug</v>
      </c>
      <c r="D744" t="s">
        <v>586</v>
      </c>
      <c r="E744" t="s">
        <v>11</v>
      </c>
      <c r="F744" t="s">
        <v>136</v>
      </c>
      <c r="G744" t="s">
        <v>124</v>
      </c>
      <c r="H744">
        <v>3</v>
      </c>
      <c r="I744">
        <v>945</v>
      </c>
      <c r="J744">
        <v>2835</v>
      </c>
    </row>
    <row r="745" spans="1:10" x14ac:dyDescent="0.3">
      <c r="A745">
        <v>1172</v>
      </c>
      <c r="B745" t="s">
        <v>585</v>
      </c>
      <c r="C745" t="str">
        <f>TEXT(Sales[[#This Row],[Order_Date]],"mmm")</f>
        <v>May</v>
      </c>
      <c r="D745" t="s">
        <v>514</v>
      </c>
      <c r="E745" t="s">
        <v>11</v>
      </c>
      <c r="F745" t="s">
        <v>17</v>
      </c>
      <c r="G745" t="s">
        <v>101</v>
      </c>
      <c r="H745">
        <v>3</v>
      </c>
      <c r="I745">
        <v>3536</v>
      </c>
      <c r="J745">
        <v>10608</v>
      </c>
    </row>
    <row r="746" spans="1:10" x14ac:dyDescent="0.3">
      <c r="A746">
        <v>1333</v>
      </c>
      <c r="B746" t="s">
        <v>470</v>
      </c>
      <c r="C746" t="str">
        <f>TEXT(Sales[[#This Row],[Order_Date]],"mmm")</f>
        <v>Apr</v>
      </c>
      <c r="D746" t="s">
        <v>152</v>
      </c>
      <c r="E746" t="s">
        <v>25</v>
      </c>
      <c r="F746" t="s">
        <v>83</v>
      </c>
      <c r="G746" t="s">
        <v>112</v>
      </c>
      <c r="H746">
        <v>3</v>
      </c>
      <c r="I746">
        <v>1367</v>
      </c>
      <c r="J746">
        <v>4101</v>
      </c>
    </row>
    <row r="747" spans="1:10" x14ac:dyDescent="0.3">
      <c r="A747">
        <v>1384</v>
      </c>
      <c r="B747" t="s">
        <v>535</v>
      </c>
      <c r="C747" t="str">
        <f>TEXT(Sales[[#This Row],[Order_Date]],"mmm")</f>
        <v>Mar</v>
      </c>
      <c r="D747" t="s">
        <v>454</v>
      </c>
      <c r="E747" t="s">
        <v>16</v>
      </c>
      <c r="F747" t="s">
        <v>17</v>
      </c>
      <c r="G747" t="s">
        <v>114</v>
      </c>
      <c r="H747">
        <v>5</v>
      </c>
      <c r="I747">
        <v>4332</v>
      </c>
      <c r="J747">
        <v>21660</v>
      </c>
    </row>
    <row r="748" spans="1:10" x14ac:dyDescent="0.3">
      <c r="A748">
        <v>1062</v>
      </c>
      <c r="B748" t="s">
        <v>209</v>
      </c>
      <c r="C748" t="str">
        <f>TEXT(Sales[[#This Row],[Order_Date]],"mmm")</f>
        <v>Jun</v>
      </c>
      <c r="D748" t="s">
        <v>301</v>
      </c>
      <c r="E748" t="s">
        <v>657</v>
      </c>
      <c r="F748" t="s">
        <v>136</v>
      </c>
      <c r="G748" t="s">
        <v>124</v>
      </c>
      <c r="H748">
        <v>4</v>
      </c>
      <c r="I748">
        <v>2114</v>
      </c>
      <c r="J748">
        <v>8456</v>
      </c>
    </row>
    <row r="749" spans="1:10" x14ac:dyDescent="0.3">
      <c r="A749">
        <v>1567</v>
      </c>
      <c r="B749" t="s">
        <v>192</v>
      </c>
      <c r="C749" t="str">
        <f>TEXT(Sales[[#This Row],[Order_Date]],"mmm")</f>
        <v>Oct</v>
      </c>
      <c r="D749" t="s">
        <v>542</v>
      </c>
      <c r="E749" t="s">
        <v>42</v>
      </c>
      <c r="F749" t="s">
        <v>83</v>
      </c>
      <c r="G749" t="s">
        <v>93</v>
      </c>
      <c r="H749">
        <v>5</v>
      </c>
      <c r="I749">
        <v>3532</v>
      </c>
      <c r="J749">
        <v>17660</v>
      </c>
    </row>
    <row r="750" spans="1:10" x14ac:dyDescent="0.3">
      <c r="A750">
        <v>1512</v>
      </c>
      <c r="B750" t="s">
        <v>374</v>
      </c>
      <c r="C750" t="str">
        <f>TEXT(Sales[[#This Row],[Order_Date]],"mmm")</f>
        <v>Apr</v>
      </c>
      <c r="D750" t="s">
        <v>214</v>
      </c>
      <c r="E750" t="s">
        <v>16</v>
      </c>
      <c r="F750" t="s">
        <v>17</v>
      </c>
      <c r="G750" t="s">
        <v>101</v>
      </c>
      <c r="H750">
        <v>5</v>
      </c>
      <c r="I750">
        <v>3671</v>
      </c>
      <c r="J750">
        <v>18355</v>
      </c>
    </row>
    <row r="751" spans="1:10" x14ac:dyDescent="0.3">
      <c r="A751">
        <v>1042</v>
      </c>
      <c r="B751" t="s">
        <v>614</v>
      </c>
      <c r="C751" t="str">
        <f>TEXT(Sales[[#This Row],[Order_Date]],"mmm")</f>
        <v>Jan</v>
      </c>
      <c r="D751" t="s">
        <v>142</v>
      </c>
      <c r="E751" t="s">
        <v>11</v>
      </c>
      <c r="F751" t="s">
        <v>136</v>
      </c>
      <c r="G751" t="s">
        <v>67</v>
      </c>
      <c r="H751">
        <v>1</v>
      </c>
      <c r="I751">
        <v>692</v>
      </c>
      <c r="J751">
        <v>692</v>
      </c>
    </row>
    <row r="752" spans="1:10" x14ac:dyDescent="0.3">
      <c r="A752">
        <v>1256</v>
      </c>
      <c r="B752" t="s">
        <v>54</v>
      </c>
      <c r="C752" t="str">
        <f>TEXT(Sales[[#This Row],[Order_Date]],"mmm")</f>
        <v>Dec</v>
      </c>
      <c r="D752" t="s">
        <v>182</v>
      </c>
      <c r="E752" t="s">
        <v>42</v>
      </c>
      <c r="F752" t="s">
        <v>89</v>
      </c>
      <c r="G752" t="s">
        <v>13</v>
      </c>
      <c r="H752">
        <v>2</v>
      </c>
      <c r="I752">
        <v>4575</v>
      </c>
      <c r="J752">
        <v>9150</v>
      </c>
    </row>
    <row r="753" spans="1:10" x14ac:dyDescent="0.3">
      <c r="A753">
        <v>1404</v>
      </c>
      <c r="B753" t="s">
        <v>615</v>
      </c>
      <c r="C753" t="str">
        <f>TEXT(Sales[[#This Row],[Order_Date]],"mmm")</f>
        <v>Dec</v>
      </c>
      <c r="D753" t="s">
        <v>348</v>
      </c>
      <c r="E753" t="s">
        <v>11</v>
      </c>
      <c r="F753" t="s">
        <v>17</v>
      </c>
      <c r="G753" t="s">
        <v>18</v>
      </c>
      <c r="H753">
        <v>2</v>
      </c>
      <c r="I753">
        <v>4335</v>
      </c>
      <c r="J753">
        <v>8670</v>
      </c>
    </row>
    <row r="754" spans="1:10" x14ac:dyDescent="0.3">
      <c r="A754">
        <v>1350</v>
      </c>
      <c r="B754" t="s">
        <v>33</v>
      </c>
      <c r="C754" t="str">
        <f>TEXT(Sales[[#This Row],[Order_Date]],"mmm")</f>
        <v>Nov</v>
      </c>
      <c r="D754" t="s">
        <v>481</v>
      </c>
      <c r="E754" t="s">
        <v>25</v>
      </c>
      <c r="F754" t="s">
        <v>136</v>
      </c>
      <c r="G754" t="s">
        <v>22</v>
      </c>
      <c r="H754">
        <v>3</v>
      </c>
      <c r="I754">
        <v>1925</v>
      </c>
      <c r="J754">
        <v>5775</v>
      </c>
    </row>
    <row r="755" spans="1:10" x14ac:dyDescent="0.3">
      <c r="A755">
        <v>1016</v>
      </c>
      <c r="B755" t="s">
        <v>283</v>
      </c>
      <c r="C755" t="str">
        <f>TEXT(Sales[[#This Row],[Order_Date]],"mmm")</f>
        <v>Dec</v>
      </c>
      <c r="D755" t="s">
        <v>409</v>
      </c>
      <c r="E755" t="s">
        <v>42</v>
      </c>
      <c r="F755" t="s">
        <v>83</v>
      </c>
      <c r="G755" t="s">
        <v>57</v>
      </c>
      <c r="H755">
        <v>1</v>
      </c>
      <c r="I755">
        <v>1621</v>
      </c>
      <c r="J755">
        <v>1621</v>
      </c>
    </row>
    <row r="756" spans="1:10" x14ac:dyDescent="0.3">
      <c r="A756">
        <v>1500</v>
      </c>
      <c r="B756" t="s">
        <v>394</v>
      </c>
      <c r="C756" t="str">
        <f>TEXT(Sales[[#This Row],[Order_Date]],"mmm")</f>
        <v>Jul</v>
      </c>
      <c r="D756" t="s">
        <v>365</v>
      </c>
      <c r="E756" t="s">
        <v>16</v>
      </c>
      <c r="F756" t="s">
        <v>83</v>
      </c>
      <c r="G756" t="s">
        <v>32</v>
      </c>
      <c r="H756">
        <v>1</v>
      </c>
      <c r="I756">
        <v>3091</v>
      </c>
      <c r="J756">
        <v>3091</v>
      </c>
    </row>
    <row r="757" spans="1:10" x14ac:dyDescent="0.3">
      <c r="A757">
        <v>1366</v>
      </c>
      <c r="B757" t="s">
        <v>423</v>
      </c>
      <c r="C757" t="str">
        <f>TEXT(Sales[[#This Row],[Order_Date]],"mmm")</f>
        <v>Jul</v>
      </c>
      <c r="D757" t="s">
        <v>164</v>
      </c>
      <c r="E757" t="s">
        <v>25</v>
      </c>
      <c r="F757" t="s">
        <v>83</v>
      </c>
      <c r="G757" t="s">
        <v>657</v>
      </c>
      <c r="H757">
        <v>2</v>
      </c>
      <c r="I757">
        <v>3841</v>
      </c>
      <c r="J757">
        <v>7682</v>
      </c>
    </row>
    <row r="758" spans="1:10" x14ac:dyDescent="0.3">
      <c r="A758">
        <v>1287</v>
      </c>
      <c r="B758" t="s">
        <v>54</v>
      </c>
      <c r="C758" t="str">
        <f>TEXT(Sales[[#This Row],[Order_Date]],"mmm")</f>
        <v>Dec</v>
      </c>
      <c r="D758" t="s">
        <v>61</v>
      </c>
      <c r="E758" t="s">
        <v>42</v>
      </c>
      <c r="F758" t="s">
        <v>89</v>
      </c>
      <c r="G758" t="s">
        <v>13</v>
      </c>
      <c r="H758">
        <v>2</v>
      </c>
      <c r="I758">
        <v>2119</v>
      </c>
      <c r="J758">
        <v>4238</v>
      </c>
    </row>
    <row r="759" spans="1:10" x14ac:dyDescent="0.3">
      <c r="A759">
        <v>1037</v>
      </c>
      <c r="B759" t="s">
        <v>336</v>
      </c>
      <c r="C759" t="str">
        <f>TEXT(Sales[[#This Row],[Order_Date]],"mmm")</f>
        <v>May</v>
      </c>
      <c r="D759" t="s">
        <v>269</v>
      </c>
      <c r="E759" t="s">
        <v>11</v>
      </c>
      <c r="F759" t="s">
        <v>17</v>
      </c>
      <c r="G759" t="s">
        <v>72</v>
      </c>
      <c r="H759">
        <v>1</v>
      </c>
      <c r="I759">
        <v>2472</v>
      </c>
      <c r="J759">
        <v>2472</v>
      </c>
    </row>
    <row r="760" spans="1:10" x14ac:dyDescent="0.3">
      <c r="A760">
        <v>1565</v>
      </c>
      <c r="B760" t="s">
        <v>559</v>
      </c>
      <c r="C760" t="str">
        <f>TEXT(Sales[[#This Row],[Order_Date]],"mmm")</f>
        <v>Apr</v>
      </c>
      <c r="D760" t="s">
        <v>66</v>
      </c>
      <c r="E760" t="s">
        <v>25</v>
      </c>
      <c r="F760" t="s">
        <v>17</v>
      </c>
      <c r="G760" t="s">
        <v>72</v>
      </c>
      <c r="H760">
        <v>2</v>
      </c>
      <c r="I760">
        <v>2326</v>
      </c>
      <c r="J760">
        <v>4652</v>
      </c>
    </row>
    <row r="761" spans="1:10" x14ac:dyDescent="0.3">
      <c r="A761">
        <v>1535</v>
      </c>
      <c r="B761" t="s">
        <v>270</v>
      </c>
      <c r="C761" t="str">
        <f>TEXT(Sales[[#This Row],[Order_Date]],"mmm")</f>
        <v>May</v>
      </c>
      <c r="D761" t="s">
        <v>29</v>
      </c>
      <c r="E761" t="s">
        <v>16</v>
      </c>
      <c r="F761" t="s">
        <v>83</v>
      </c>
      <c r="G761" t="s">
        <v>57</v>
      </c>
      <c r="H761">
        <v>1</v>
      </c>
      <c r="I761">
        <v>3698</v>
      </c>
      <c r="J761">
        <v>3698</v>
      </c>
    </row>
    <row r="762" spans="1:10" x14ac:dyDescent="0.3">
      <c r="A762">
        <v>1053</v>
      </c>
      <c r="B762" t="s">
        <v>448</v>
      </c>
      <c r="C762" t="str">
        <f>TEXT(Sales[[#This Row],[Order_Date]],"mmm")</f>
        <v>Jun</v>
      </c>
      <c r="D762" t="s">
        <v>444</v>
      </c>
      <c r="E762" t="s">
        <v>16</v>
      </c>
      <c r="F762" t="s">
        <v>136</v>
      </c>
      <c r="G762" t="s">
        <v>22</v>
      </c>
      <c r="H762">
        <v>4</v>
      </c>
      <c r="I762">
        <v>3161</v>
      </c>
      <c r="J762">
        <v>12644</v>
      </c>
    </row>
    <row r="763" spans="1:10" x14ac:dyDescent="0.3">
      <c r="A763">
        <v>1229</v>
      </c>
      <c r="B763" t="s">
        <v>303</v>
      </c>
      <c r="C763" t="str">
        <f>TEXT(Sales[[#This Row],[Order_Date]],"mmm")</f>
        <v>Jan</v>
      </c>
      <c r="D763" t="s">
        <v>436</v>
      </c>
      <c r="E763" t="s">
        <v>25</v>
      </c>
      <c r="F763" t="s">
        <v>136</v>
      </c>
      <c r="G763" t="s">
        <v>67</v>
      </c>
      <c r="H763">
        <v>1</v>
      </c>
      <c r="I763">
        <v>3410</v>
      </c>
      <c r="J763">
        <v>3410</v>
      </c>
    </row>
    <row r="764" spans="1:10" x14ac:dyDescent="0.3">
      <c r="A764">
        <v>1585</v>
      </c>
      <c r="B764" t="s">
        <v>9</v>
      </c>
      <c r="C764" t="str">
        <f>TEXT(Sales[[#This Row],[Order_Date]],"mmm")</f>
        <v>Jan</v>
      </c>
      <c r="D764" t="s">
        <v>314</v>
      </c>
      <c r="E764" t="s">
        <v>16</v>
      </c>
      <c r="F764" t="s">
        <v>17</v>
      </c>
      <c r="G764" t="s">
        <v>53</v>
      </c>
      <c r="H764">
        <v>2</v>
      </c>
      <c r="I764">
        <v>1547</v>
      </c>
      <c r="J764">
        <v>3094</v>
      </c>
    </row>
    <row r="765" spans="1:10" x14ac:dyDescent="0.3">
      <c r="A765">
        <v>1099</v>
      </c>
      <c r="B765" t="s">
        <v>601</v>
      </c>
      <c r="C765" t="str">
        <f>TEXT(Sales[[#This Row],[Order_Date]],"mmm")</f>
        <v>Jan</v>
      </c>
      <c r="D765" t="s">
        <v>417</v>
      </c>
      <c r="E765" t="s">
        <v>42</v>
      </c>
      <c r="F765" t="s">
        <v>136</v>
      </c>
      <c r="G765" t="s">
        <v>124</v>
      </c>
      <c r="H765">
        <v>2</v>
      </c>
      <c r="I765">
        <v>1083</v>
      </c>
      <c r="J765">
        <v>2166</v>
      </c>
    </row>
    <row r="766" spans="1:10" x14ac:dyDescent="0.3">
      <c r="A766">
        <v>1055</v>
      </c>
      <c r="B766" t="s">
        <v>549</v>
      </c>
      <c r="C766" t="str">
        <f>TEXT(Sales[[#This Row],[Order_Date]],"mmm")</f>
        <v>Jun</v>
      </c>
      <c r="D766" t="s">
        <v>488</v>
      </c>
      <c r="E766" t="s">
        <v>25</v>
      </c>
      <c r="F766" t="s">
        <v>17</v>
      </c>
      <c r="G766" t="s">
        <v>72</v>
      </c>
      <c r="H766">
        <v>4</v>
      </c>
      <c r="I766">
        <v>4942</v>
      </c>
      <c r="J766">
        <v>19768</v>
      </c>
    </row>
    <row r="767" spans="1:10" x14ac:dyDescent="0.3">
      <c r="A767">
        <v>1034</v>
      </c>
      <c r="B767" t="s">
        <v>396</v>
      </c>
      <c r="C767" t="str">
        <f>TEXT(Sales[[#This Row],[Order_Date]],"mmm")</f>
        <v>Jul</v>
      </c>
      <c r="D767" t="s">
        <v>97</v>
      </c>
      <c r="E767" t="s">
        <v>16</v>
      </c>
      <c r="F767" t="s">
        <v>83</v>
      </c>
      <c r="G767" t="s">
        <v>93</v>
      </c>
      <c r="H767">
        <v>1</v>
      </c>
      <c r="I767">
        <v>2669</v>
      </c>
      <c r="J767">
        <v>2669</v>
      </c>
    </row>
    <row r="768" spans="1:10" x14ac:dyDescent="0.3">
      <c r="A768">
        <v>1104</v>
      </c>
      <c r="B768" t="s">
        <v>387</v>
      </c>
      <c r="C768" t="str">
        <f>TEXT(Sales[[#This Row],[Order_Date]],"mmm")</f>
        <v>Dec</v>
      </c>
      <c r="D768" t="s">
        <v>64</v>
      </c>
      <c r="E768" t="s">
        <v>11</v>
      </c>
      <c r="F768" t="s">
        <v>83</v>
      </c>
      <c r="G768" t="s">
        <v>112</v>
      </c>
      <c r="H768">
        <v>1</v>
      </c>
      <c r="I768">
        <v>3567</v>
      </c>
      <c r="J768">
        <v>3567</v>
      </c>
    </row>
    <row r="769" spans="1:10" x14ac:dyDescent="0.3">
      <c r="A769">
        <v>1010</v>
      </c>
      <c r="B769" t="s">
        <v>86</v>
      </c>
      <c r="C769" t="str">
        <f>TEXT(Sales[[#This Row],[Order_Date]],"mmm")</f>
        <v>Aug</v>
      </c>
      <c r="D769" t="s">
        <v>422</v>
      </c>
      <c r="E769" t="s">
        <v>25</v>
      </c>
      <c r="F769" t="s">
        <v>136</v>
      </c>
      <c r="G769" t="s">
        <v>46</v>
      </c>
      <c r="H769">
        <v>1</v>
      </c>
      <c r="I769">
        <v>3919</v>
      </c>
      <c r="J769">
        <v>3919</v>
      </c>
    </row>
    <row r="770" spans="1:10" x14ac:dyDescent="0.3">
      <c r="A770">
        <v>1110</v>
      </c>
      <c r="B770" t="s">
        <v>160</v>
      </c>
      <c r="C770" t="str">
        <f>TEXT(Sales[[#This Row],[Order_Date]],"mmm")</f>
        <v>Feb</v>
      </c>
      <c r="D770" t="s">
        <v>354</v>
      </c>
      <c r="E770" t="s">
        <v>11</v>
      </c>
      <c r="F770" t="s">
        <v>83</v>
      </c>
      <c r="G770" t="s">
        <v>57</v>
      </c>
      <c r="H770">
        <v>5</v>
      </c>
      <c r="I770">
        <v>2299</v>
      </c>
      <c r="J770">
        <v>11495</v>
      </c>
    </row>
    <row r="771" spans="1:10" x14ac:dyDescent="0.3">
      <c r="A771">
        <v>1455</v>
      </c>
      <c r="B771" t="s">
        <v>90</v>
      </c>
      <c r="C771" t="str">
        <f>TEXT(Sales[[#This Row],[Order_Date]],"mmm")</f>
        <v>Apr</v>
      </c>
      <c r="D771" t="s">
        <v>135</v>
      </c>
      <c r="E771" t="s">
        <v>11</v>
      </c>
      <c r="F771" t="s">
        <v>17</v>
      </c>
      <c r="G771" t="s">
        <v>72</v>
      </c>
      <c r="H771">
        <v>3</v>
      </c>
      <c r="I771">
        <v>4988</v>
      </c>
      <c r="J771">
        <v>14964</v>
      </c>
    </row>
    <row r="772" spans="1:10" x14ac:dyDescent="0.3">
      <c r="A772">
        <v>1366</v>
      </c>
      <c r="B772" t="s">
        <v>461</v>
      </c>
      <c r="C772" t="str">
        <f>TEXT(Sales[[#This Row],[Order_Date]],"mmm")</f>
        <v>Jun</v>
      </c>
      <c r="D772" t="s">
        <v>504</v>
      </c>
      <c r="E772" t="s">
        <v>42</v>
      </c>
      <c r="F772" t="s">
        <v>17</v>
      </c>
      <c r="G772" t="s">
        <v>114</v>
      </c>
      <c r="H772">
        <v>5</v>
      </c>
      <c r="I772">
        <v>3009</v>
      </c>
      <c r="J772">
        <v>15045</v>
      </c>
    </row>
    <row r="773" spans="1:10" x14ac:dyDescent="0.3">
      <c r="A773">
        <v>1530</v>
      </c>
      <c r="B773" t="s">
        <v>192</v>
      </c>
      <c r="C773" t="str">
        <f>TEXT(Sales[[#This Row],[Order_Date]],"mmm")</f>
        <v>Oct</v>
      </c>
      <c r="D773" t="s">
        <v>66</v>
      </c>
      <c r="E773" t="s">
        <v>42</v>
      </c>
      <c r="F773" t="s">
        <v>17</v>
      </c>
      <c r="G773" t="s">
        <v>72</v>
      </c>
      <c r="H773">
        <v>4</v>
      </c>
      <c r="I773">
        <v>3016</v>
      </c>
      <c r="J773">
        <v>12064</v>
      </c>
    </row>
    <row r="774" spans="1:10" x14ac:dyDescent="0.3">
      <c r="A774">
        <v>1206</v>
      </c>
      <c r="B774" t="s">
        <v>98</v>
      </c>
      <c r="C774" t="str">
        <f>TEXT(Sales[[#This Row],[Order_Date]],"mmm")</f>
        <v>Feb</v>
      </c>
      <c r="D774" t="s">
        <v>162</v>
      </c>
      <c r="E774" t="s">
        <v>25</v>
      </c>
      <c r="F774" t="s">
        <v>17</v>
      </c>
      <c r="G774" t="s">
        <v>53</v>
      </c>
      <c r="H774">
        <v>5</v>
      </c>
      <c r="I774">
        <v>4837</v>
      </c>
      <c r="J774">
        <v>24185</v>
      </c>
    </row>
    <row r="775" spans="1:10" x14ac:dyDescent="0.3">
      <c r="A775">
        <v>1428</v>
      </c>
      <c r="B775" t="s">
        <v>195</v>
      </c>
      <c r="C775" t="str">
        <f>TEXT(Sales[[#This Row],[Order_Date]],"mmm")</f>
        <v>Jun</v>
      </c>
      <c r="D775" t="s">
        <v>527</v>
      </c>
      <c r="E775" t="s">
        <v>16</v>
      </c>
      <c r="F775" t="s">
        <v>83</v>
      </c>
      <c r="G775" t="s">
        <v>78</v>
      </c>
      <c r="H775">
        <v>2</v>
      </c>
      <c r="I775">
        <v>230</v>
      </c>
      <c r="J775">
        <v>460</v>
      </c>
    </row>
    <row r="776" spans="1:10" x14ac:dyDescent="0.3">
      <c r="A776">
        <v>1477</v>
      </c>
      <c r="B776" t="s">
        <v>616</v>
      </c>
      <c r="C776" t="str">
        <f>TEXT(Sales[[#This Row],[Order_Date]],"mmm")</f>
        <v>Nov</v>
      </c>
      <c r="D776" t="s">
        <v>44</v>
      </c>
      <c r="E776" t="s">
        <v>11</v>
      </c>
      <c r="F776" t="s">
        <v>17</v>
      </c>
      <c r="G776" t="s">
        <v>53</v>
      </c>
      <c r="H776">
        <v>2</v>
      </c>
      <c r="I776">
        <v>3479</v>
      </c>
      <c r="J776">
        <v>6958</v>
      </c>
    </row>
    <row r="777" spans="1:10" x14ac:dyDescent="0.3">
      <c r="A777">
        <v>1371</v>
      </c>
      <c r="B777" t="s">
        <v>617</v>
      </c>
      <c r="C777" t="str">
        <f>TEXT(Sales[[#This Row],[Order_Date]],"mmm")</f>
        <v>Jan</v>
      </c>
      <c r="D777" t="s">
        <v>397</v>
      </c>
      <c r="E777" t="s">
        <v>11</v>
      </c>
      <c r="F777" t="s">
        <v>89</v>
      </c>
      <c r="G777" t="s">
        <v>27</v>
      </c>
      <c r="H777">
        <v>3</v>
      </c>
      <c r="I777">
        <v>3807</v>
      </c>
      <c r="J777">
        <v>11421</v>
      </c>
    </row>
    <row r="778" spans="1:10" x14ac:dyDescent="0.3">
      <c r="A778">
        <v>1368</v>
      </c>
      <c r="B778" t="s">
        <v>106</v>
      </c>
      <c r="C778" t="str">
        <f>TEXT(Sales[[#This Row],[Order_Date]],"mmm")</f>
        <v>Jan</v>
      </c>
      <c r="D778" t="s">
        <v>305</v>
      </c>
      <c r="E778" t="s">
        <v>42</v>
      </c>
      <c r="F778" t="s">
        <v>83</v>
      </c>
      <c r="G778" t="s">
        <v>93</v>
      </c>
      <c r="H778">
        <v>2</v>
      </c>
      <c r="I778">
        <v>1993</v>
      </c>
      <c r="J778">
        <v>3986</v>
      </c>
    </row>
    <row r="779" spans="1:10" x14ac:dyDescent="0.3">
      <c r="A779">
        <v>1347</v>
      </c>
      <c r="B779" t="s">
        <v>618</v>
      </c>
      <c r="C779" t="str">
        <f>TEXT(Sales[[#This Row],[Order_Date]],"mmm")</f>
        <v>Oct</v>
      </c>
      <c r="D779" t="s">
        <v>135</v>
      </c>
      <c r="E779" t="s">
        <v>11</v>
      </c>
      <c r="F779" t="s">
        <v>17</v>
      </c>
      <c r="G779" t="s">
        <v>114</v>
      </c>
      <c r="H779">
        <v>3</v>
      </c>
      <c r="I779">
        <v>1028</v>
      </c>
      <c r="J779">
        <v>3084</v>
      </c>
    </row>
    <row r="780" spans="1:10" x14ac:dyDescent="0.3">
      <c r="A780">
        <v>1388</v>
      </c>
      <c r="B780" t="s">
        <v>540</v>
      </c>
      <c r="C780" t="str">
        <f>TEXT(Sales[[#This Row],[Order_Date]],"mmm")</f>
        <v>Dec</v>
      </c>
      <c r="D780" t="s">
        <v>187</v>
      </c>
      <c r="E780" t="s">
        <v>42</v>
      </c>
      <c r="F780" t="s">
        <v>83</v>
      </c>
      <c r="G780" t="s">
        <v>112</v>
      </c>
      <c r="H780">
        <v>4</v>
      </c>
      <c r="I780">
        <v>2167</v>
      </c>
      <c r="J780">
        <v>8668</v>
      </c>
    </row>
    <row r="781" spans="1:10" x14ac:dyDescent="0.3">
      <c r="A781">
        <v>1175</v>
      </c>
      <c r="B781" t="s">
        <v>558</v>
      </c>
      <c r="C781" t="str">
        <f>TEXT(Sales[[#This Row],[Order_Date]],"mmm")</f>
        <v>Sep</v>
      </c>
      <c r="D781" t="s">
        <v>175</v>
      </c>
      <c r="E781" t="s">
        <v>11</v>
      </c>
      <c r="F781" t="s">
        <v>136</v>
      </c>
      <c r="G781" t="s">
        <v>124</v>
      </c>
      <c r="H781">
        <v>2</v>
      </c>
      <c r="I781">
        <v>1753</v>
      </c>
      <c r="J781">
        <v>3506</v>
      </c>
    </row>
    <row r="782" spans="1:10" x14ac:dyDescent="0.3">
      <c r="A782">
        <v>1383</v>
      </c>
      <c r="B782" t="s">
        <v>209</v>
      </c>
      <c r="C782" t="str">
        <f>TEXT(Sales[[#This Row],[Order_Date]],"mmm")</f>
        <v>Jun</v>
      </c>
      <c r="D782" t="s">
        <v>256</v>
      </c>
      <c r="E782" t="s">
        <v>16</v>
      </c>
      <c r="F782" t="s">
        <v>136</v>
      </c>
      <c r="G782" t="s">
        <v>128</v>
      </c>
      <c r="H782">
        <v>5</v>
      </c>
      <c r="I782">
        <v>2609</v>
      </c>
      <c r="J782">
        <v>13045</v>
      </c>
    </row>
    <row r="783" spans="1:10" x14ac:dyDescent="0.3">
      <c r="A783">
        <v>1054</v>
      </c>
      <c r="B783" t="s">
        <v>200</v>
      </c>
      <c r="C783" t="str">
        <f>TEXT(Sales[[#This Row],[Order_Date]],"mmm")</f>
        <v>Nov</v>
      </c>
      <c r="D783" t="s">
        <v>581</v>
      </c>
      <c r="E783" t="s">
        <v>16</v>
      </c>
      <c r="F783" t="s">
        <v>89</v>
      </c>
      <c r="G783" t="s">
        <v>13</v>
      </c>
      <c r="H783">
        <v>1</v>
      </c>
      <c r="I783">
        <v>4055</v>
      </c>
      <c r="J783">
        <v>4055</v>
      </c>
    </row>
    <row r="784" spans="1:10" x14ac:dyDescent="0.3">
      <c r="A784">
        <v>1171</v>
      </c>
      <c r="B784" t="s">
        <v>607</v>
      </c>
      <c r="C784" t="str">
        <f>TEXT(Sales[[#This Row],[Order_Date]],"mmm")</f>
        <v>Sep</v>
      </c>
      <c r="D784" t="s">
        <v>276</v>
      </c>
      <c r="E784" t="s">
        <v>11</v>
      </c>
      <c r="F784" t="s">
        <v>89</v>
      </c>
      <c r="G784" t="s">
        <v>75</v>
      </c>
      <c r="H784">
        <v>3</v>
      </c>
      <c r="I784">
        <v>3262</v>
      </c>
      <c r="J784">
        <v>9786</v>
      </c>
    </row>
    <row r="785" spans="1:10" x14ac:dyDescent="0.3">
      <c r="A785">
        <v>1506</v>
      </c>
      <c r="B785" t="s">
        <v>465</v>
      </c>
      <c r="C785" t="str">
        <f>TEXT(Sales[[#This Row],[Order_Date]],"mmm")</f>
        <v>Aug</v>
      </c>
      <c r="D785" t="s">
        <v>206</v>
      </c>
      <c r="E785" t="s">
        <v>16</v>
      </c>
      <c r="F785" t="s">
        <v>136</v>
      </c>
      <c r="G785" t="s">
        <v>67</v>
      </c>
      <c r="H785">
        <v>2</v>
      </c>
      <c r="I785">
        <v>1862</v>
      </c>
      <c r="J785">
        <v>3724</v>
      </c>
    </row>
    <row r="786" spans="1:10" x14ac:dyDescent="0.3">
      <c r="A786">
        <v>1223</v>
      </c>
      <c r="B786" t="s">
        <v>170</v>
      </c>
      <c r="C786" t="str">
        <f>TEXT(Sales[[#This Row],[Order_Date]],"mmm")</f>
        <v>Jun</v>
      </c>
      <c r="D786" t="s">
        <v>516</v>
      </c>
      <c r="E786" t="s">
        <v>25</v>
      </c>
      <c r="F786" t="s">
        <v>136</v>
      </c>
      <c r="G786" t="s">
        <v>67</v>
      </c>
      <c r="H786">
        <v>3</v>
      </c>
      <c r="I786">
        <v>4710</v>
      </c>
      <c r="J786">
        <v>14130</v>
      </c>
    </row>
    <row r="787" spans="1:10" x14ac:dyDescent="0.3">
      <c r="A787">
        <v>1302</v>
      </c>
      <c r="B787" t="s">
        <v>217</v>
      </c>
      <c r="C787" t="str">
        <f>TEXT(Sales[[#This Row],[Order_Date]],"mmm")</f>
        <v>Aug</v>
      </c>
      <c r="D787" t="s">
        <v>619</v>
      </c>
      <c r="E787" t="s">
        <v>16</v>
      </c>
      <c r="F787" t="s">
        <v>89</v>
      </c>
      <c r="G787" t="s">
        <v>13</v>
      </c>
      <c r="H787">
        <v>5</v>
      </c>
      <c r="I787">
        <v>2955</v>
      </c>
      <c r="J787">
        <v>14775</v>
      </c>
    </row>
    <row r="788" spans="1:10" x14ac:dyDescent="0.3">
      <c r="A788">
        <v>1418</v>
      </c>
      <c r="B788" t="s">
        <v>431</v>
      </c>
      <c r="C788" t="str">
        <f>TEXT(Sales[[#This Row],[Order_Date]],"mmm")</f>
        <v>Jul</v>
      </c>
      <c r="D788" t="s">
        <v>321</v>
      </c>
      <c r="E788" t="s">
        <v>11</v>
      </c>
      <c r="F788" t="s">
        <v>136</v>
      </c>
      <c r="G788" t="s">
        <v>22</v>
      </c>
      <c r="H788">
        <v>1</v>
      </c>
      <c r="I788">
        <v>1671</v>
      </c>
      <c r="J788">
        <v>1671</v>
      </c>
    </row>
    <row r="789" spans="1:10" x14ac:dyDescent="0.3">
      <c r="A789">
        <v>1077</v>
      </c>
      <c r="B789" t="s">
        <v>541</v>
      </c>
      <c r="C789" t="str">
        <f>TEXT(Sales[[#This Row],[Order_Date]],"mmm")</f>
        <v>Jul</v>
      </c>
      <c r="D789" t="s">
        <v>111</v>
      </c>
      <c r="E789" t="s">
        <v>42</v>
      </c>
      <c r="F789" t="s">
        <v>83</v>
      </c>
      <c r="G789" t="s">
        <v>112</v>
      </c>
      <c r="H789">
        <v>2</v>
      </c>
      <c r="I789">
        <v>1006</v>
      </c>
      <c r="J789">
        <v>2012</v>
      </c>
    </row>
    <row r="790" spans="1:10" x14ac:dyDescent="0.3">
      <c r="A790">
        <v>1559</v>
      </c>
      <c r="B790" t="s">
        <v>462</v>
      </c>
      <c r="C790" t="str">
        <f>TEXT(Sales[[#This Row],[Order_Date]],"mmm")</f>
        <v>Apr</v>
      </c>
      <c r="D790" t="s">
        <v>265</v>
      </c>
      <c r="E790" t="s">
        <v>42</v>
      </c>
      <c r="F790" t="s">
        <v>17</v>
      </c>
      <c r="G790" t="s">
        <v>101</v>
      </c>
      <c r="H790">
        <v>3</v>
      </c>
      <c r="I790">
        <v>1761</v>
      </c>
      <c r="J790">
        <v>5283</v>
      </c>
    </row>
    <row r="791" spans="1:10" x14ac:dyDescent="0.3">
      <c r="A791">
        <v>1556</v>
      </c>
      <c r="B791" t="s">
        <v>377</v>
      </c>
      <c r="C791" t="str">
        <f>TEXT(Sales[[#This Row],[Order_Date]],"mmm")</f>
        <v>May</v>
      </c>
      <c r="D791" t="s">
        <v>530</v>
      </c>
      <c r="E791" t="s">
        <v>657</v>
      </c>
      <c r="F791" t="s">
        <v>89</v>
      </c>
      <c r="G791" t="s">
        <v>95</v>
      </c>
      <c r="H791">
        <v>4</v>
      </c>
      <c r="I791">
        <v>4950</v>
      </c>
      <c r="J791">
        <v>19800</v>
      </c>
    </row>
    <row r="792" spans="1:10" x14ac:dyDescent="0.3">
      <c r="A792">
        <v>1524</v>
      </c>
      <c r="B792" t="s">
        <v>576</v>
      </c>
      <c r="C792" t="str">
        <f>TEXT(Sales[[#This Row],[Order_Date]],"mmm")</f>
        <v>Mar</v>
      </c>
      <c r="D792" t="s">
        <v>116</v>
      </c>
      <c r="E792" t="s">
        <v>16</v>
      </c>
      <c r="F792" t="s">
        <v>136</v>
      </c>
      <c r="G792" t="s">
        <v>128</v>
      </c>
      <c r="H792">
        <v>4</v>
      </c>
      <c r="I792">
        <v>2114</v>
      </c>
      <c r="J792">
        <v>8456</v>
      </c>
    </row>
    <row r="793" spans="1:10" x14ac:dyDescent="0.3">
      <c r="A793">
        <v>1479</v>
      </c>
      <c r="B793" t="s">
        <v>81</v>
      </c>
      <c r="C793" t="str">
        <f>TEXT(Sales[[#This Row],[Order_Date]],"mmm")</f>
        <v>Aug</v>
      </c>
      <c r="D793" t="s">
        <v>162</v>
      </c>
      <c r="E793" t="s">
        <v>11</v>
      </c>
      <c r="F793" t="s">
        <v>83</v>
      </c>
      <c r="G793" t="s">
        <v>112</v>
      </c>
      <c r="H793">
        <v>4</v>
      </c>
      <c r="I793">
        <v>1916</v>
      </c>
      <c r="J793">
        <v>7664</v>
      </c>
    </row>
    <row r="794" spans="1:10" x14ac:dyDescent="0.3">
      <c r="A794">
        <v>1030</v>
      </c>
      <c r="B794" t="s">
        <v>362</v>
      </c>
      <c r="C794" t="str">
        <f>TEXT(Sales[[#This Row],[Order_Date]],"mmm")</f>
        <v>Jul</v>
      </c>
      <c r="D794" t="s">
        <v>146</v>
      </c>
      <c r="E794" t="s">
        <v>16</v>
      </c>
      <c r="F794" t="s">
        <v>17</v>
      </c>
      <c r="G794" t="s">
        <v>101</v>
      </c>
      <c r="H794">
        <v>3</v>
      </c>
      <c r="I794">
        <v>2983</v>
      </c>
      <c r="J794">
        <v>8949</v>
      </c>
    </row>
    <row r="795" spans="1:10" x14ac:dyDescent="0.3">
      <c r="A795">
        <v>1413</v>
      </c>
      <c r="B795" t="s">
        <v>421</v>
      </c>
      <c r="C795" t="str">
        <f>TEXT(Sales[[#This Row],[Order_Date]],"mmm")</f>
        <v>Dec</v>
      </c>
      <c r="D795" t="s">
        <v>365</v>
      </c>
      <c r="E795" t="s">
        <v>42</v>
      </c>
      <c r="F795" t="s">
        <v>89</v>
      </c>
      <c r="G795" t="s">
        <v>95</v>
      </c>
      <c r="H795">
        <v>2</v>
      </c>
      <c r="I795">
        <v>1459</v>
      </c>
      <c r="J795">
        <v>2918</v>
      </c>
    </row>
    <row r="796" spans="1:10" x14ac:dyDescent="0.3">
      <c r="A796">
        <v>1581</v>
      </c>
      <c r="B796" t="s">
        <v>200</v>
      </c>
      <c r="C796" t="str">
        <f>TEXT(Sales[[#This Row],[Order_Date]],"mmm")</f>
        <v>Nov</v>
      </c>
      <c r="D796" t="s">
        <v>395</v>
      </c>
      <c r="E796" t="s">
        <v>11</v>
      </c>
      <c r="F796" t="s">
        <v>136</v>
      </c>
      <c r="G796" t="s">
        <v>46</v>
      </c>
      <c r="H796">
        <v>1</v>
      </c>
      <c r="I796">
        <v>4578</v>
      </c>
      <c r="J796">
        <v>4578</v>
      </c>
    </row>
    <row r="797" spans="1:10" x14ac:dyDescent="0.3">
      <c r="A797">
        <v>1336</v>
      </c>
      <c r="B797" t="s">
        <v>620</v>
      </c>
      <c r="C797" t="str">
        <f>TEXT(Sales[[#This Row],[Order_Date]],"mmm")</f>
        <v>Oct</v>
      </c>
      <c r="D797" t="s">
        <v>386</v>
      </c>
      <c r="E797" t="s">
        <v>11</v>
      </c>
      <c r="F797" t="s">
        <v>136</v>
      </c>
      <c r="G797" t="s">
        <v>22</v>
      </c>
      <c r="H797">
        <v>1</v>
      </c>
      <c r="I797">
        <v>4729</v>
      </c>
      <c r="J797">
        <v>4729</v>
      </c>
    </row>
    <row r="798" spans="1:10" x14ac:dyDescent="0.3">
      <c r="A798">
        <v>1500</v>
      </c>
      <c r="B798" t="s">
        <v>313</v>
      </c>
      <c r="C798" t="str">
        <f>TEXT(Sales[[#This Row],[Order_Date]],"mmm")</f>
        <v>Jan</v>
      </c>
      <c r="D798" t="s">
        <v>390</v>
      </c>
      <c r="E798" t="s">
        <v>42</v>
      </c>
      <c r="F798" t="s">
        <v>17</v>
      </c>
      <c r="G798" t="s">
        <v>72</v>
      </c>
      <c r="H798">
        <v>2</v>
      </c>
      <c r="I798">
        <v>2109</v>
      </c>
      <c r="J798">
        <v>4218</v>
      </c>
    </row>
    <row r="799" spans="1:10" x14ac:dyDescent="0.3">
      <c r="A799">
        <v>1465</v>
      </c>
      <c r="B799" t="s">
        <v>621</v>
      </c>
      <c r="C799" t="str">
        <f>TEXT(Sales[[#This Row],[Order_Date]],"mmm")</f>
        <v>Jan</v>
      </c>
      <c r="D799" t="s">
        <v>587</v>
      </c>
      <c r="E799" t="s">
        <v>11</v>
      </c>
      <c r="F799" t="s">
        <v>83</v>
      </c>
      <c r="G799" t="s">
        <v>93</v>
      </c>
      <c r="H799">
        <v>4</v>
      </c>
      <c r="I799">
        <v>1486</v>
      </c>
      <c r="J799">
        <v>5944</v>
      </c>
    </row>
    <row r="800" spans="1:10" x14ac:dyDescent="0.3">
      <c r="A800">
        <v>1428</v>
      </c>
      <c r="B800" t="s">
        <v>531</v>
      </c>
      <c r="C800" t="str">
        <f>TEXT(Sales[[#This Row],[Order_Date]],"mmm")</f>
        <v>Sep</v>
      </c>
      <c r="D800" t="s">
        <v>210</v>
      </c>
      <c r="E800" t="s">
        <v>11</v>
      </c>
      <c r="F800" t="s">
        <v>83</v>
      </c>
      <c r="G800" t="s">
        <v>78</v>
      </c>
      <c r="H800">
        <v>2</v>
      </c>
      <c r="I800">
        <v>2737</v>
      </c>
      <c r="J800">
        <v>5474</v>
      </c>
    </row>
    <row r="801" spans="1:10" x14ac:dyDescent="0.3">
      <c r="A801">
        <v>1486</v>
      </c>
      <c r="B801" t="s">
        <v>19</v>
      </c>
      <c r="C801" t="str">
        <f>TEXT(Sales[[#This Row],[Order_Date]],"mmm")</f>
        <v>Mar</v>
      </c>
      <c r="D801" t="s">
        <v>24</v>
      </c>
      <c r="E801" t="s">
        <v>16</v>
      </c>
      <c r="F801" t="s">
        <v>89</v>
      </c>
      <c r="G801" t="s">
        <v>657</v>
      </c>
      <c r="H801">
        <v>3</v>
      </c>
      <c r="I801">
        <v>1852</v>
      </c>
      <c r="J801">
        <v>5556</v>
      </c>
    </row>
    <row r="802" spans="1:10" x14ac:dyDescent="0.3">
      <c r="A802">
        <v>1065</v>
      </c>
      <c r="B802" t="s">
        <v>137</v>
      </c>
      <c r="C802" t="str">
        <f>TEXT(Sales[[#This Row],[Order_Date]],"mmm")</f>
        <v>Jul</v>
      </c>
      <c r="D802" t="s">
        <v>24</v>
      </c>
      <c r="E802" t="s">
        <v>16</v>
      </c>
      <c r="F802" t="s">
        <v>17</v>
      </c>
      <c r="G802" t="s">
        <v>18</v>
      </c>
      <c r="H802">
        <v>4</v>
      </c>
      <c r="I802">
        <v>3990</v>
      </c>
      <c r="J802">
        <v>15960</v>
      </c>
    </row>
    <row r="803" spans="1:10" x14ac:dyDescent="0.3">
      <c r="A803">
        <v>1294</v>
      </c>
      <c r="B803" t="s">
        <v>398</v>
      </c>
      <c r="C803" t="str">
        <f>TEXT(Sales[[#This Row],[Order_Date]],"mmm")</f>
        <v>Nov</v>
      </c>
      <c r="D803" t="s">
        <v>99</v>
      </c>
      <c r="E803" t="s">
        <v>11</v>
      </c>
      <c r="F803" t="s">
        <v>136</v>
      </c>
      <c r="G803" t="s">
        <v>22</v>
      </c>
      <c r="H803">
        <v>5</v>
      </c>
      <c r="I803">
        <v>1634</v>
      </c>
      <c r="J803">
        <v>8170</v>
      </c>
    </row>
    <row r="804" spans="1:10" x14ac:dyDescent="0.3">
      <c r="A804">
        <v>1442</v>
      </c>
      <c r="B804" t="s">
        <v>96</v>
      </c>
      <c r="C804" t="str">
        <f>TEXT(Sales[[#This Row],[Order_Date]],"mmm")</f>
        <v>Aug</v>
      </c>
      <c r="D804" t="s">
        <v>422</v>
      </c>
      <c r="E804" t="s">
        <v>11</v>
      </c>
      <c r="F804" t="s">
        <v>17</v>
      </c>
      <c r="G804" t="s">
        <v>18</v>
      </c>
      <c r="H804">
        <v>1</v>
      </c>
      <c r="I804">
        <v>2163</v>
      </c>
      <c r="J804">
        <v>2163</v>
      </c>
    </row>
    <row r="805" spans="1:10" x14ac:dyDescent="0.3">
      <c r="A805">
        <v>1550</v>
      </c>
      <c r="B805" t="s">
        <v>611</v>
      </c>
      <c r="C805" t="str">
        <f>TEXT(Sales[[#This Row],[Order_Date]],"mmm")</f>
        <v>May</v>
      </c>
      <c r="D805" t="s">
        <v>103</v>
      </c>
      <c r="E805" t="s">
        <v>11</v>
      </c>
      <c r="F805" t="s">
        <v>83</v>
      </c>
      <c r="G805" t="s">
        <v>93</v>
      </c>
      <c r="H805">
        <v>5</v>
      </c>
      <c r="I805">
        <v>1193</v>
      </c>
      <c r="J805">
        <v>5965</v>
      </c>
    </row>
    <row r="806" spans="1:10" x14ac:dyDescent="0.3">
      <c r="A806">
        <v>1107</v>
      </c>
      <c r="B806" t="s">
        <v>437</v>
      </c>
      <c r="C806" t="str">
        <f>TEXT(Sales[[#This Row],[Order_Date]],"mmm")</f>
        <v>Sep</v>
      </c>
      <c r="D806" t="s">
        <v>323</v>
      </c>
      <c r="E806" t="s">
        <v>11</v>
      </c>
      <c r="F806" t="s">
        <v>89</v>
      </c>
      <c r="G806" t="s">
        <v>75</v>
      </c>
      <c r="H806">
        <v>3</v>
      </c>
      <c r="I806">
        <v>1898</v>
      </c>
      <c r="J806">
        <v>5694</v>
      </c>
    </row>
    <row r="807" spans="1:10" x14ac:dyDescent="0.3">
      <c r="A807">
        <v>1074</v>
      </c>
      <c r="B807" t="s">
        <v>467</v>
      </c>
      <c r="C807" t="str">
        <f>TEXT(Sales[[#This Row],[Order_Date]],"mmm")</f>
        <v>Nov</v>
      </c>
      <c r="D807" t="s">
        <v>547</v>
      </c>
      <c r="E807" t="s">
        <v>11</v>
      </c>
      <c r="F807" t="s">
        <v>136</v>
      </c>
      <c r="G807" t="s">
        <v>46</v>
      </c>
      <c r="H807">
        <v>2</v>
      </c>
      <c r="I807">
        <v>3449</v>
      </c>
      <c r="J807">
        <v>6898</v>
      </c>
    </row>
    <row r="808" spans="1:10" x14ac:dyDescent="0.3">
      <c r="A808">
        <v>1139</v>
      </c>
      <c r="B808" t="s">
        <v>153</v>
      </c>
      <c r="C808" t="str">
        <f>TEXT(Sales[[#This Row],[Order_Date]],"mmm")</f>
        <v>Jun</v>
      </c>
      <c r="D808" t="s">
        <v>356</v>
      </c>
      <c r="E808" t="s">
        <v>25</v>
      </c>
      <c r="F808" t="s">
        <v>136</v>
      </c>
      <c r="G808" t="s">
        <v>46</v>
      </c>
      <c r="H808">
        <v>1</v>
      </c>
      <c r="I808">
        <v>4692</v>
      </c>
      <c r="J808">
        <v>4692</v>
      </c>
    </row>
    <row r="809" spans="1:10" x14ac:dyDescent="0.3">
      <c r="A809">
        <v>1448</v>
      </c>
      <c r="B809" t="s">
        <v>622</v>
      </c>
      <c r="C809" t="str">
        <f>TEXT(Sales[[#This Row],[Order_Date]],"mmm")</f>
        <v>Mar</v>
      </c>
      <c r="D809" t="s">
        <v>430</v>
      </c>
      <c r="E809" t="s">
        <v>42</v>
      </c>
      <c r="F809" t="s">
        <v>89</v>
      </c>
      <c r="G809" t="s">
        <v>13</v>
      </c>
      <c r="H809">
        <v>5</v>
      </c>
      <c r="I809">
        <v>1023</v>
      </c>
      <c r="J809">
        <v>5115</v>
      </c>
    </row>
    <row r="810" spans="1:10" x14ac:dyDescent="0.3">
      <c r="A810">
        <v>1400</v>
      </c>
      <c r="B810" t="s">
        <v>393</v>
      </c>
      <c r="C810" t="str">
        <f>TEXT(Sales[[#This Row],[Order_Date]],"mmm")</f>
        <v>Mar</v>
      </c>
      <c r="D810" t="s">
        <v>623</v>
      </c>
      <c r="E810" t="s">
        <v>16</v>
      </c>
      <c r="F810" t="s">
        <v>83</v>
      </c>
      <c r="G810" t="s">
        <v>112</v>
      </c>
      <c r="H810">
        <v>3</v>
      </c>
      <c r="I810">
        <v>1657</v>
      </c>
      <c r="J810">
        <v>4971</v>
      </c>
    </row>
    <row r="811" spans="1:10" x14ac:dyDescent="0.3">
      <c r="A811">
        <v>1545</v>
      </c>
      <c r="B811" t="s">
        <v>440</v>
      </c>
      <c r="C811" t="str">
        <f>TEXT(Sales[[#This Row],[Order_Date]],"mmm")</f>
        <v>Apr</v>
      </c>
      <c r="D811" t="s">
        <v>199</v>
      </c>
      <c r="E811" t="s">
        <v>657</v>
      </c>
      <c r="F811" t="s">
        <v>83</v>
      </c>
      <c r="G811" t="s">
        <v>57</v>
      </c>
      <c r="H811">
        <v>3</v>
      </c>
      <c r="I811">
        <v>3837</v>
      </c>
      <c r="J811">
        <v>11511</v>
      </c>
    </row>
    <row r="812" spans="1:10" x14ac:dyDescent="0.3">
      <c r="A812">
        <v>1386</v>
      </c>
      <c r="B812" t="s">
        <v>494</v>
      </c>
      <c r="C812" t="str">
        <f>TEXT(Sales[[#This Row],[Order_Date]],"mmm")</f>
        <v>Apr</v>
      </c>
      <c r="D812" t="s">
        <v>624</v>
      </c>
      <c r="E812" t="s">
        <v>16</v>
      </c>
      <c r="F812" t="s">
        <v>17</v>
      </c>
      <c r="G812" t="s">
        <v>101</v>
      </c>
      <c r="H812">
        <v>1</v>
      </c>
      <c r="I812">
        <v>331</v>
      </c>
      <c r="J812">
        <v>331</v>
      </c>
    </row>
    <row r="813" spans="1:10" x14ac:dyDescent="0.3">
      <c r="A813">
        <v>1345</v>
      </c>
      <c r="B813" t="s">
        <v>625</v>
      </c>
      <c r="C813" t="str">
        <f>TEXT(Sales[[#This Row],[Order_Date]],"mmm")</f>
        <v>Apr</v>
      </c>
      <c r="D813" t="s">
        <v>351</v>
      </c>
      <c r="E813" t="s">
        <v>11</v>
      </c>
      <c r="F813" t="s">
        <v>83</v>
      </c>
      <c r="G813" t="s">
        <v>93</v>
      </c>
      <c r="H813">
        <v>2</v>
      </c>
      <c r="I813">
        <v>560</v>
      </c>
      <c r="J813">
        <v>1120</v>
      </c>
    </row>
    <row r="814" spans="1:10" x14ac:dyDescent="0.3">
      <c r="A814">
        <v>1334</v>
      </c>
      <c r="B814" t="s">
        <v>448</v>
      </c>
      <c r="C814" t="str">
        <f>TEXT(Sales[[#This Row],[Order_Date]],"mmm")</f>
        <v>Jun</v>
      </c>
      <c r="D814" t="s">
        <v>491</v>
      </c>
      <c r="E814" t="s">
        <v>11</v>
      </c>
      <c r="F814" t="s">
        <v>17</v>
      </c>
      <c r="G814" t="s">
        <v>18</v>
      </c>
      <c r="H814">
        <v>4</v>
      </c>
      <c r="I814">
        <v>1189</v>
      </c>
      <c r="J814">
        <v>4756</v>
      </c>
    </row>
    <row r="815" spans="1:10" x14ac:dyDescent="0.3">
      <c r="A815">
        <v>1331</v>
      </c>
      <c r="B815" t="s">
        <v>626</v>
      </c>
      <c r="C815" t="str">
        <f>TEXT(Sales[[#This Row],[Order_Date]],"mmm")</f>
        <v>Mar</v>
      </c>
      <c r="D815" t="s">
        <v>354</v>
      </c>
      <c r="E815" t="s">
        <v>11</v>
      </c>
      <c r="F815" t="s">
        <v>136</v>
      </c>
      <c r="G815" t="s">
        <v>22</v>
      </c>
      <c r="H815">
        <v>2</v>
      </c>
      <c r="I815">
        <v>3958</v>
      </c>
      <c r="J815">
        <v>7916</v>
      </c>
    </row>
    <row r="816" spans="1:10" x14ac:dyDescent="0.3">
      <c r="A816">
        <v>1285</v>
      </c>
      <c r="B816" t="s">
        <v>627</v>
      </c>
      <c r="C816" t="str">
        <f>TEXT(Sales[[#This Row],[Order_Date]],"mmm")</f>
        <v>Nov</v>
      </c>
      <c r="D816" t="s">
        <v>477</v>
      </c>
      <c r="E816" t="s">
        <v>16</v>
      </c>
      <c r="F816" t="s">
        <v>89</v>
      </c>
      <c r="G816" t="s">
        <v>27</v>
      </c>
      <c r="H816">
        <v>4</v>
      </c>
      <c r="I816">
        <v>2670</v>
      </c>
      <c r="J816">
        <v>10680</v>
      </c>
    </row>
    <row r="817" spans="1:10" x14ac:dyDescent="0.3">
      <c r="A817">
        <v>1104</v>
      </c>
      <c r="B817" t="s">
        <v>435</v>
      </c>
      <c r="C817" t="str">
        <f>TEXT(Sales[[#This Row],[Order_Date]],"mmm")</f>
        <v>Dec</v>
      </c>
      <c r="D817" t="s">
        <v>365</v>
      </c>
      <c r="E817" t="s">
        <v>25</v>
      </c>
      <c r="F817" t="s">
        <v>17</v>
      </c>
      <c r="G817" t="s">
        <v>101</v>
      </c>
      <c r="H817">
        <v>4</v>
      </c>
      <c r="I817">
        <v>1288</v>
      </c>
      <c r="J817">
        <v>5152</v>
      </c>
    </row>
    <row r="818" spans="1:10" x14ac:dyDescent="0.3">
      <c r="A818">
        <v>1325</v>
      </c>
      <c r="B818" t="s">
        <v>628</v>
      </c>
      <c r="C818" t="str">
        <f>TEXT(Sales[[#This Row],[Order_Date]],"mmm")</f>
        <v>Dec</v>
      </c>
      <c r="D818" t="s">
        <v>544</v>
      </c>
      <c r="E818" t="s">
        <v>16</v>
      </c>
      <c r="F818" t="s">
        <v>83</v>
      </c>
      <c r="G818" t="s">
        <v>112</v>
      </c>
      <c r="H818">
        <v>4</v>
      </c>
      <c r="I818">
        <v>4386</v>
      </c>
      <c r="J818">
        <v>17544</v>
      </c>
    </row>
    <row r="819" spans="1:10" x14ac:dyDescent="0.3">
      <c r="A819">
        <v>1013</v>
      </c>
      <c r="B819" t="s">
        <v>285</v>
      </c>
      <c r="C819" t="str">
        <f>TEXT(Sales[[#This Row],[Order_Date]],"mmm")</f>
        <v>Apr</v>
      </c>
      <c r="D819" t="s">
        <v>584</v>
      </c>
      <c r="E819" t="s">
        <v>11</v>
      </c>
      <c r="F819" t="s">
        <v>83</v>
      </c>
      <c r="G819" t="s">
        <v>112</v>
      </c>
      <c r="H819">
        <v>2</v>
      </c>
      <c r="I819">
        <v>850</v>
      </c>
      <c r="J819">
        <v>1700</v>
      </c>
    </row>
    <row r="820" spans="1:10" x14ac:dyDescent="0.3">
      <c r="A820">
        <v>1303</v>
      </c>
      <c r="B820" t="s">
        <v>494</v>
      </c>
      <c r="C820" t="str">
        <f>TEXT(Sales[[#This Row],[Order_Date]],"mmm")</f>
        <v>Apr</v>
      </c>
      <c r="D820" t="s">
        <v>339</v>
      </c>
      <c r="E820" t="s">
        <v>16</v>
      </c>
      <c r="F820" t="s">
        <v>136</v>
      </c>
      <c r="G820" t="s">
        <v>128</v>
      </c>
      <c r="H820">
        <v>5</v>
      </c>
      <c r="I820">
        <v>3835</v>
      </c>
      <c r="J820">
        <v>19175</v>
      </c>
    </row>
    <row r="821" spans="1:10" x14ac:dyDescent="0.3">
      <c r="A821">
        <v>1284</v>
      </c>
      <c r="B821" t="s">
        <v>209</v>
      </c>
      <c r="C821" t="str">
        <f>TEXT(Sales[[#This Row],[Order_Date]],"mmm")</f>
        <v>Jun</v>
      </c>
      <c r="D821" t="s">
        <v>119</v>
      </c>
      <c r="E821" t="s">
        <v>42</v>
      </c>
      <c r="F821" t="s">
        <v>83</v>
      </c>
      <c r="G821" t="s">
        <v>57</v>
      </c>
      <c r="H821">
        <v>1</v>
      </c>
      <c r="I821">
        <v>2076</v>
      </c>
      <c r="J821">
        <v>2076</v>
      </c>
    </row>
    <row r="822" spans="1:10" x14ac:dyDescent="0.3">
      <c r="A822">
        <v>1248</v>
      </c>
      <c r="B822" t="s">
        <v>413</v>
      </c>
      <c r="C822" t="str">
        <f>TEXT(Sales[[#This Row],[Order_Date]],"mmm")</f>
        <v>Apr</v>
      </c>
      <c r="D822" t="s">
        <v>550</v>
      </c>
      <c r="E822" t="s">
        <v>11</v>
      </c>
      <c r="F822" t="s">
        <v>83</v>
      </c>
      <c r="G822" t="s">
        <v>93</v>
      </c>
      <c r="H822">
        <v>5</v>
      </c>
      <c r="I822">
        <v>2834</v>
      </c>
      <c r="J822">
        <v>14170</v>
      </c>
    </row>
    <row r="823" spans="1:10" x14ac:dyDescent="0.3">
      <c r="A823">
        <v>1066</v>
      </c>
      <c r="B823" t="s">
        <v>629</v>
      </c>
      <c r="C823" t="str">
        <f>TEXT(Sales[[#This Row],[Order_Date]],"mmm")</f>
        <v>Sep</v>
      </c>
      <c r="D823" t="s">
        <v>91</v>
      </c>
      <c r="E823" t="s">
        <v>16</v>
      </c>
      <c r="F823" t="s">
        <v>17</v>
      </c>
      <c r="G823" t="s">
        <v>72</v>
      </c>
      <c r="H823">
        <v>2</v>
      </c>
      <c r="I823">
        <v>951</v>
      </c>
      <c r="J823">
        <v>1902</v>
      </c>
    </row>
    <row r="824" spans="1:10" x14ac:dyDescent="0.3">
      <c r="A824">
        <v>1209</v>
      </c>
      <c r="B824" t="s">
        <v>266</v>
      </c>
      <c r="C824" t="str">
        <f>TEXT(Sales[[#This Row],[Order_Date]],"mmm")</f>
        <v>Apr</v>
      </c>
      <c r="D824" t="s">
        <v>562</v>
      </c>
      <c r="E824" t="s">
        <v>42</v>
      </c>
      <c r="F824" t="s">
        <v>83</v>
      </c>
      <c r="G824" t="s">
        <v>78</v>
      </c>
      <c r="H824">
        <v>2</v>
      </c>
      <c r="I824">
        <v>1818</v>
      </c>
      <c r="J824">
        <v>3636</v>
      </c>
    </row>
    <row r="825" spans="1:10" x14ac:dyDescent="0.3">
      <c r="A825">
        <v>1254</v>
      </c>
      <c r="B825" t="s">
        <v>529</v>
      </c>
      <c r="C825" t="str">
        <f>TEXT(Sales[[#This Row],[Order_Date]],"mmm")</f>
        <v>Jun</v>
      </c>
      <c r="D825" t="s">
        <v>87</v>
      </c>
      <c r="E825" t="s">
        <v>16</v>
      </c>
      <c r="F825" t="s">
        <v>136</v>
      </c>
      <c r="G825" t="s">
        <v>128</v>
      </c>
      <c r="H825">
        <v>1</v>
      </c>
      <c r="I825">
        <v>3145</v>
      </c>
      <c r="J825">
        <v>3145</v>
      </c>
    </row>
    <row r="826" spans="1:10" x14ac:dyDescent="0.3">
      <c r="A826">
        <v>1451</v>
      </c>
      <c r="B826" t="s">
        <v>466</v>
      </c>
      <c r="C826" t="str">
        <f>TEXT(Sales[[#This Row],[Order_Date]],"mmm")</f>
        <v>Aug</v>
      </c>
      <c r="D826" t="s">
        <v>562</v>
      </c>
      <c r="E826" t="s">
        <v>42</v>
      </c>
      <c r="F826" t="s">
        <v>136</v>
      </c>
      <c r="G826" t="s">
        <v>128</v>
      </c>
      <c r="H826">
        <v>4</v>
      </c>
      <c r="I826">
        <v>3701</v>
      </c>
      <c r="J826">
        <v>14804</v>
      </c>
    </row>
    <row r="827" spans="1:10" x14ac:dyDescent="0.3">
      <c r="A827">
        <v>1307</v>
      </c>
      <c r="B827" t="s">
        <v>555</v>
      </c>
      <c r="C827" t="str">
        <f>TEXT(Sales[[#This Row],[Order_Date]],"mmm")</f>
        <v>Oct</v>
      </c>
      <c r="D827" t="s">
        <v>365</v>
      </c>
      <c r="E827" t="s">
        <v>42</v>
      </c>
      <c r="F827" t="s">
        <v>17</v>
      </c>
      <c r="G827" t="s">
        <v>18</v>
      </c>
      <c r="H827">
        <v>4</v>
      </c>
      <c r="I827">
        <v>3998</v>
      </c>
      <c r="J827">
        <v>15992</v>
      </c>
    </row>
    <row r="828" spans="1:10" x14ac:dyDescent="0.3">
      <c r="A828">
        <v>1575</v>
      </c>
      <c r="B828" t="s">
        <v>129</v>
      </c>
      <c r="C828" t="str">
        <f>TEXT(Sales[[#This Row],[Order_Date]],"mmm")</f>
        <v>Nov</v>
      </c>
      <c r="D828" t="s">
        <v>544</v>
      </c>
      <c r="E828" t="s">
        <v>657</v>
      </c>
      <c r="F828" t="s">
        <v>83</v>
      </c>
      <c r="G828" t="s">
        <v>112</v>
      </c>
      <c r="H828">
        <v>2</v>
      </c>
      <c r="I828">
        <v>1467</v>
      </c>
      <c r="J828">
        <v>2934</v>
      </c>
    </row>
    <row r="829" spans="1:10" x14ac:dyDescent="0.3">
      <c r="A829">
        <v>1512</v>
      </c>
      <c r="B829" t="s">
        <v>362</v>
      </c>
      <c r="C829" t="str">
        <f>TEXT(Sales[[#This Row],[Order_Date]],"mmm")</f>
        <v>Jul</v>
      </c>
      <c r="D829" t="s">
        <v>169</v>
      </c>
      <c r="E829" t="s">
        <v>25</v>
      </c>
      <c r="F829" t="s">
        <v>136</v>
      </c>
      <c r="G829" t="s">
        <v>46</v>
      </c>
      <c r="H829">
        <v>4</v>
      </c>
      <c r="I829">
        <v>4210</v>
      </c>
      <c r="J829">
        <v>16840</v>
      </c>
    </row>
    <row r="830" spans="1:10" x14ac:dyDescent="0.3">
      <c r="A830">
        <v>1072</v>
      </c>
      <c r="B830" t="s">
        <v>630</v>
      </c>
      <c r="C830" t="str">
        <f>TEXT(Sales[[#This Row],[Order_Date]],"mmm")</f>
        <v>Jul</v>
      </c>
      <c r="D830" t="s">
        <v>631</v>
      </c>
      <c r="E830" t="s">
        <v>11</v>
      </c>
      <c r="F830" t="s">
        <v>83</v>
      </c>
      <c r="G830" t="s">
        <v>32</v>
      </c>
      <c r="H830">
        <v>2</v>
      </c>
      <c r="I830">
        <v>3774</v>
      </c>
      <c r="J830">
        <v>7548</v>
      </c>
    </row>
    <row r="831" spans="1:10" x14ac:dyDescent="0.3">
      <c r="A831">
        <v>1356</v>
      </c>
      <c r="B831" t="s">
        <v>607</v>
      </c>
      <c r="C831" t="str">
        <f>TEXT(Sales[[#This Row],[Order_Date]],"mmm")</f>
        <v>Sep</v>
      </c>
      <c r="D831" t="s">
        <v>381</v>
      </c>
      <c r="E831" t="s">
        <v>11</v>
      </c>
      <c r="F831" t="s">
        <v>136</v>
      </c>
      <c r="G831" t="s">
        <v>22</v>
      </c>
      <c r="H831">
        <v>4</v>
      </c>
      <c r="I831">
        <v>2221</v>
      </c>
      <c r="J831">
        <v>8884</v>
      </c>
    </row>
    <row r="832" spans="1:10" x14ac:dyDescent="0.3">
      <c r="A832">
        <v>1370</v>
      </c>
      <c r="B832" t="s">
        <v>603</v>
      </c>
      <c r="C832" t="str">
        <f>TEXT(Sales[[#This Row],[Order_Date]],"mmm")</f>
        <v>Nov</v>
      </c>
      <c r="D832" t="s">
        <v>537</v>
      </c>
      <c r="E832" t="s">
        <v>16</v>
      </c>
      <c r="F832" t="s">
        <v>83</v>
      </c>
      <c r="G832" t="s">
        <v>93</v>
      </c>
      <c r="H832">
        <v>2</v>
      </c>
      <c r="I832">
        <v>2283</v>
      </c>
      <c r="J832">
        <v>4566</v>
      </c>
    </row>
    <row r="833" spans="1:10" x14ac:dyDescent="0.3">
      <c r="A833">
        <v>1165</v>
      </c>
      <c r="B833" t="s">
        <v>632</v>
      </c>
      <c r="C833" t="str">
        <f>TEXT(Sales[[#This Row],[Order_Date]],"mmm")</f>
        <v>Jan</v>
      </c>
      <c r="D833" t="s">
        <v>157</v>
      </c>
      <c r="E833" t="s">
        <v>25</v>
      </c>
      <c r="F833" t="s">
        <v>83</v>
      </c>
      <c r="G833" t="s">
        <v>78</v>
      </c>
      <c r="H833">
        <v>5</v>
      </c>
      <c r="I833">
        <v>1746</v>
      </c>
      <c r="J833">
        <v>8730</v>
      </c>
    </row>
    <row r="834" spans="1:10" x14ac:dyDescent="0.3">
      <c r="A834">
        <v>1437</v>
      </c>
      <c r="B834" t="s">
        <v>277</v>
      </c>
      <c r="C834" t="str">
        <f>TEXT(Sales[[#This Row],[Order_Date]],"mmm")</f>
        <v>May</v>
      </c>
      <c r="D834" t="s">
        <v>547</v>
      </c>
      <c r="E834" t="s">
        <v>42</v>
      </c>
      <c r="F834" t="s">
        <v>89</v>
      </c>
      <c r="G834" t="s">
        <v>133</v>
      </c>
      <c r="H834">
        <v>4</v>
      </c>
      <c r="I834">
        <v>928</v>
      </c>
      <c r="J834">
        <v>3712</v>
      </c>
    </row>
    <row r="835" spans="1:10" x14ac:dyDescent="0.3">
      <c r="A835">
        <v>1352</v>
      </c>
      <c r="B835" t="s">
        <v>219</v>
      </c>
      <c r="C835" t="str">
        <f>TEXT(Sales[[#This Row],[Order_Date]],"mmm")</f>
        <v>Mar</v>
      </c>
      <c r="D835" t="s">
        <v>206</v>
      </c>
      <c r="E835" t="s">
        <v>42</v>
      </c>
      <c r="F835" t="s">
        <v>17</v>
      </c>
      <c r="G835" t="s">
        <v>657</v>
      </c>
      <c r="H835">
        <v>2</v>
      </c>
      <c r="I835">
        <v>4228</v>
      </c>
      <c r="J835">
        <v>8456</v>
      </c>
    </row>
    <row r="836" spans="1:10" x14ac:dyDescent="0.3">
      <c r="A836">
        <v>1427</v>
      </c>
      <c r="B836" t="s">
        <v>371</v>
      </c>
      <c r="C836" t="str">
        <f>TEXT(Sales[[#This Row],[Order_Date]],"mmm")</f>
        <v>Sep</v>
      </c>
      <c r="D836" t="s">
        <v>245</v>
      </c>
      <c r="E836" t="s">
        <v>11</v>
      </c>
      <c r="F836" t="s">
        <v>89</v>
      </c>
      <c r="G836" t="s">
        <v>75</v>
      </c>
      <c r="H836">
        <v>3</v>
      </c>
      <c r="I836">
        <v>1726</v>
      </c>
      <c r="J836">
        <v>5178</v>
      </c>
    </row>
    <row r="837" spans="1:10" x14ac:dyDescent="0.3">
      <c r="A837">
        <v>1186</v>
      </c>
      <c r="B837" t="s">
        <v>369</v>
      </c>
      <c r="C837" t="str">
        <f>TEXT(Sales[[#This Row],[Order_Date]],"mmm")</f>
        <v>Sep</v>
      </c>
      <c r="D837" t="s">
        <v>202</v>
      </c>
      <c r="E837" t="s">
        <v>11</v>
      </c>
      <c r="F837" t="s">
        <v>83</v>
      </c>
      <c r="G837" t="s">
        <v>78</v>
      </c>
      <c r="H837">
        <v>2</v>
      </c>
      <c r="I837">
        <v>683</v>
      </c>
      <c r="J837">
        <v>1366</v>
      </c>
    </row>
    <row r="838" spans="1:10" x14ac:dyDescent="0.3">
      <c r="A838">
        <v>1196</v>
      </c>
      <c r="B838" t="s">
        <v>428</v>
      </c>
      <c r="C838" t="str">
        <f>TEXT(Sales[[#This Row],[Order_Date]],"mmm")</f>
        <v>May</v>
      </c>
      <c r="D838" t="s">
        <v>111</v>
      </c>
      <c r="E838" t="s">
        <v>11</v>
      </c>
      <c r="F838" t="s">
        <v>136</v>
      </c>
      <c r="G838" t="s">
        <v>46</v>
      </c>
      <c r="H838">
        <v>1</v>
      </c>
      <c r="I838">
        <v>2601</v>
      </c>
      <c r="J838">
        <v>2601</v>
      </c>
    </row>
    <row r="839" spans="1:10" x14ac:dyDescent="0.3">
      <c r="A839">
        <v>1065</v>
      </c>
      <c r="B839" t="s">
        <v>546</v>
      </c>
      <c r="C839" t="str">
        <f>TEXT(Sales[[#This Row],[Order_Date]],"mmm")</f>
        <v>Jun</v>
      </c>
      <c r="D839" t="s">
        <v>442</v>
      </c>
      <c r="E839" t="s">
        <v>25</v>
      </c>
      <c r="F839" t="s">
        <v>17</v>
      </c>
      <c r="G839" t="s">
        <v>53</v>
      </c>
      <c r="H839">
        <v>1</v>
      </c>
      <c r="I839">
        <v>700</v>
      </c>
      <c r="J839">
        <v>700</v>
      </c>
    </row>
    <row r="840" spans="1:10" x14ac:dyDescent="0.3">
      <c r="A840">
        <v>1596</v>
      </c>
      <c r="B840" t="s">
        <v>302</v>
      </c>
      <c r="C840" t="str">
        <f>TEXT(Sales[[#This Row],[Order_Date]],"mmm")</f>
        <v>Jan</v>
      </c>
      <c r="D840" t="s">
        <v>77</v>
      </c>
      <c r="E840" t="s">
        <v>11</v>
      </c>
      <c r="F840" t="s">
        <v>17</v>
      </c>
      <c r="G840" t="s">
        <v>18</v>
      </c>
      <c r="H840">
        <v>5</v>
      </c>
      <c r="I840">
        <v>4460</v>
      </c>
      <c r="J840">
        <v>22300</v>
      </c>
    </row>
    <row r="841" spans="1:10" x14ac:dyDescent="0.3">
      <c r="A841">
        <v>1497</v>
      </c>
      <c r="B841" t="s">
        <v>465</v>
      </c>
      <c r="C841" t="str">
        <f>TEXT(Sales[[#This Row],[Order_Date]],"mmm")</f>
        <v>Aug</v>
      </c>
      <c r="D841" t="s">
        <v>224</v>
      </c>
      <c r="E841" t="s">
        <v>25</v>
      </c>
      <c r="F841" t="s">
        <v>89</v>
      </c>
      <c r="G841" t="s">
        <v>133</v>
      </c>
      <c r="H841">
        <v>3</v>
      </c>
      <c r="I841">
        <v>3010</v>
      </c>
      <c r="J841">
        <v>9030</v>
      </c>
    </row>
    <row r="842" spans="1:10" x14ac:dyDescent="0.3">
      <c r="A842">
        <v>1369</v>
      </c>
      <c r="B842" t="s">
        <v>633</v>
      </c>
      <c r="C842" t="str">
        <f>TEXT(Sales[[#This Row],[Order_Date]],"mmm")</f>
        <v>Dec</v>
      </c>
      <c r="D842" t="s">
        <v>634</v>
      </c>
      <c r="E842" t="s">
        <v>25</v>
      </c>
      <c r="F842" t="s">
        <v>136</v>
      </c>
      <c r="G842" t="s">
        <v>657</v>
      </c>
      <c r="H842">
        <v>3</v>
      </c>
      <c r="I842">
        <v>1020</v>
      </c>
      <c r="J842">
        <v>3060</v>
      </c>
    </row>
    <row r="843" spans="1:10" x14ac:dyDescent="0.3">
      <c r="A843">
        <v>1411</v>
      </c>
      <c r="B843" t="s">
        <v>622</v>
      </c>
      <c r="C843" t="str">
        <f>TEXT(Sales[[#This Row],[Order_Date]],"mmm")</f>
        <v>Mar</v>
      </c>
      <c r="D843" t="s">
        <v>152</v>
      </c>
      <c r="E843" t="s">
        <v>16</v>
      </c>
      <c r="F843" t="s">
        <v>83</v>
      </c>
      <c r="G843" t="s">
        <v>57</v>
      </c>
      <c r="H843">
        <v>3</v>
      </c>
      <c r="I843">
        <v>3902</v>
      </c>
      <c r="J843">
        <v>11706</v>
      </c>
    </row>
    <row r="844" spans="1:10" x14ac:dyDescent="0.3">
      <c r="A844">
        <v>1486</v>
      </c>
      <c r="B844" t="s">
        <v>73</v>
      </c>
      <c r="C844" t="str">
        <f>TEXT(Sales[[#This Row],[Order_Date]],"mmm")</f>
        <v>Sep</v>
      </c>
      <c r="D844" t="s">
        <v>196</v>
      </c>
      <c r="E844" t="s">
        <v>42</v>
      </c>
      <c r="F844" t="s">
        <v>17</v>
      </c>
      <c r="G844" t="s">
        <v>72</v>
      </c>
      <c r="H844">
        <v>3</v>
      </c>
      <c r="I844">
        <v>574</v>
      </c>
      <c r="J844">
        <v>1722</v>
      </c>
    </row>
    <row r="845" spans="1:10" x14ac:dyDescent="0.3">
      <c r="A845">
        <v>1454</v>
      </c>
      <c r="B845" t="s">
        <v>285</v>
      </c>
      <c r="C845" t="str">
        <f>TEXT(Sales[[#This Row],[Order_Date]],"mmm")</f>
        <v>Apr</v>
      </c>
      <c r="D845" t="s">
        <v>201</v>
      </c>
      <c r="E845" t="s">
        <v>25</v>
      </c>
      <c r="F845" t="s">
        <v>136</v>
      </c>
      <c r="G845" t="s">
        <v>46</v>
      </c>
      <c r="H845">
        <v>4</v>
      </c>
      <c r="I845">
        <v>4100</v>
      </c>
      <c r="J845">
        <v>16400</v>
      </c>
    </row>
    <row r="846" spans="1:10" x14ac:dyDescent="0.3">
      <c r="A846">
        <v>1102</v>
      </c>
      <c r="B846" t="s">
        <v>392</v>
      </c>
      <c r="C846" t="str">
        <f>TEXT(Sales[[#This Row],[Order_Date]],"mmm")</f>
        <v>Jul</v>
      </c>
      <c r="D846" t="s">
        <v>282</v>
      </c>
      <c r="E846" t="s">
        <v>11</v>
      </c>
      <c r="F846" t="s">
        <v>17</v>
      </c>
      <c r="G846" t="s">
        <v>114</v>
      </c>
      <c r="H846">
        <v>4</v>
      </c>
      <c r="I846">
        <v>913</v>
      </c>
      <c r="J846">
        <v>3652</v>
      </c>
    </row>
    <row r="847" spans="1:10" x14ac:dyDescent="0.3">
      <c r="A847">
        <v>1561</v>
      </c>
      <c r="B847" t="s">
        <v>320</v>
      </c>
      <c r="C847" t="str">
        <f>TEXT(Sales[[#This Row],[Order_Date]],"mmm")</f>
        <v>Aug</v>
      </c>
      <c r="D847" t="s">
        <v>385</v>
      </c>
      <c r="E847" t="s">
        <v>16</v>
      </c>
      <c r="F847" t="s">
        <v>136</v>
      </c>
      <c r="G847" t="s">
        <v>124</v>
      </c>
      <c r="H847">
        <v>2</v>
      </c>
      <c r="I847">
        <v>1933</v>
      </c>
      <c r="J847">
        <v>3866</v>
      </c>
    </row>
    <row r="848" spans="1:10" x14ac:dyDescent="0.3">
      <c r="A848">
        <v>1091</v>
      </c>
      <c r="B848" t="s">
        <v>489</v>
      </c>
      <c r="C848" t="str">
        <f>TEXT(Sales[[#This Row],[Order_Date]],"mmm")</f>
        <v>Feb</v>
      </c>
      <c r="D848" t="s">
        <v>194</v>
      </c>
      <c r="E848" t="s">
        <v>11</v>
      </c>
      <c r="F848" t="s">
        <v>83</v>
      </c>
      <c r="G848" t="s">
        <v>93</v>
      </c>
      <c r="H848">
        <v>3</v>
      </c>
      <c r="I848">
        <v>2005</v>
      </c>
      <c r="J848">
        <v>6015</v>
      </c>
    </row>
    <row r="849" spans="1:10" x14ac:dyDescent="0.3">
      <c r="A849">
        <v>1126</v>
      </c>
      <c r="B849" t="s">
        <v>633</v>
      </c>
      <c r="C849" t="str">
        <f>TEXT(Sales[[#This Row],[Order_Date]],"mmm")</f>
        <v>Dec</v>
      </c>
      <c r="D849" t="s">
        <v>409</v>
      </c>
      <c r="E849" t="s">
        <v>16</v>
      </c>
      <c r="F849" t="s">
        <v>136</v>
      </c>
      <c r="G849" t="s">
        <v>124</v>
      </c>
      <c r="H849">
        <v>5</v>
      </c>
      <c r="I849">
        <v>729</v>
      </c>
      <c r="J849">
        <v>3645</v>
      </c>
    </row>
    <row r="850" spans="1:10" x14ac:dyDescent="0.3">
      <c r="A850">
        <v>1390</v>
      </c>
      <c r="B850" t="s">
        <v>635</v>
      </c>
      <c r="C850" t="str">
        <f>TEXT(Sales[[#This Row],[Order_Date]],"mmm")</f>
        <v>Nov</v>
      </c>
      <c r="D850" t="s">
        <v>119</v>
      </c>
      <c r="E850" t="s">
        <v>42</v>
      </c>
      <c r="F850" t="s">
        <v>136</v>
      </c>
      <c r="G850" t="s">
        <v>128</v>
      </c>
      <c r="H850">
        <v>1</v>
      </c>
      <c r="I850">
        <v>2583</v>
      </c>
      <c r="J850">
        <v>2583</v>
      </c>
    </row>
    <row r="851" spans="1:10" x14ac:dyDescent="0.3">
      <c r="A851">
        <v>1192</v>
      </c>
      <c r="B851" t="s">
        <v>232</v>
      </c>
      <c r="C851" t="str">
        <f>TEXT(Sales[[#This Row],[Order_Date]],"mmm")</f>
        <v>Feb</v>
      </c>
      <c r="D851" t="s">
        <v>414</v>
      </c>
      <c r="E851" t="s">
        <v>11</v>
      </c>
      <c r="F851" t="s">
        <v>89</v>
      </c>
      <c r="G851" t="s">
        <v>13</v>
      </c>
      <c r="H851">
        <v>5</v>
      </c>
      <c r="I851">
        <v>213</v>
      </c>
      <c r="J851">
        <v>1065</v>
      </c>
    </row>
    <row r="852" spans="1:10" x14ac:dyDescent="0.3">
      <c r="A852">
        <v>1194</v>
      </c>
      <c r="B852" t="s">
        <v>423</v>
      </c>
      <c r="C852" t="str">
        <f>TEXT(Sales[[#This Row],[Order_Date]],"mmm")</f>
        <v>Jul</v>
      </c>
      <c r="D852" t="s">
        <v>175</v>
      </c>
      <c r="E852" t="s">
        <v>657</v>
      </c>
      <c r="F852" t="s">
        <v>136</v>
      </c>
      <c r="G852" t="s">
        <v>22</v>
      </c>
      <c r="H852">
        <v>5</v>
      </c>
      <c r="I852">
        <v>2019</v>
      </c>
      <c r="J852">
        <v>10095</v>
      </c>
    </row>
    <row r="853" spans="1:10" x14ac:dyDescent="0.3">
      <c r="A853">
        <v>1471</v>
      </c>
      <c r="B853" t="s">
        <v>43</v>
      </c>
      <c r="C853" t="str">
        <f>TEXT(Sales[[#This Row],[Order_Date]],"mmm")</f>
        <v>Jun</v>
      </c>
      <c r="D853" t="s">
        <v>636</v>
      </c>
      <c r="E853" t="s">
        <v>16</v>
      </c>
      <c r="F853" t="s">
        <v>89</v>
      </c>
      <c r="G853" t="s">
        <v>13</v>
      </c>
      <c r="H853">
        <v>2</v>
      </c>
      <c r="I853">
        <v>2521</v>
      </c>
      <c r="J853">
        <v>5042</v>
      </c>
    </row>
    <row r="854" spans="1:10" x14ac:dyDescent="0.3">
      <c r="A854">
        <v>1035</v>
      </c>
      <c r="B854" t="s">
        <v>573</v>
      </c>
      <c r="C854" t="str">
        <f>TEXT(Sales[[#This Row],[Order_Date]],"mmm")</f>
        <v>Nov</v>
      </c>
      <c r="D854" t="s">
        <v>372</v>
      </c>
      <c r="E854" t="s">
        <v>42</v>
      </c>
      <c r="F854" t="s">
        <v>89</v>
      </c>
      <c r="G854" t="s">
        <v>133</v>
      </c>
      <c r="H854">
        <v>5</v>
      </c>
      <c r="I854">
        <v>4118</v>
      </c>
      <c r="J854">
        <v>20590</v>
      </c>
    </row>
    <row r="855" spans="1:10" x14ac:dyDescent="0.3">
      <c r="A855">
        <v>1298</v>
      </c>
      <c r="B855" t="s">
        <v>580</v>
      </c>
      <c r="C855" t="str">
        <f>TEXT(Sales[[#This Row],[Order_Date]],"mmm")</f>
        <v>Dec</v>
      </c>
      <c r="D855" t="s">
        <v>318</v>
      </c>
      <c r="E855" t="s">
        <v>11</v>
      </c>
      <c r="F855" t="s">
        <v>136</v>
      </c>
      <c r="G855" t="s">
        <v>124</v>
      </c>
      <c r="H855">
        <v>2</v>
      </c>
      <c r="I855">
        <v>2043</v>
      </c>
      <c r="J855">
        <v>4086</v>
      </c>
    </row>
    <row r="856" spans="1:10" x14ac:dyDescent="0.3">
      <c r="A856">
        <v>1183</v>
      </c>
      <c r="B856" t="s">
        <v>505</v>
      </c>
      <c r="C856" t="str">
        <f>TEXT(Sales[[#This Row],[Order_Date]],"mmm")</f>
        <v>Sep</v>
      </c>
      <c r="D856" t="s">
        <v>482</v>
      </c>
      <c r="E856" t="s">
        <v>42</v>
      </c>
      <c r="F856" t="s">
        <v>136</v>
      </c>
      <c r="G856" t="s">
        <v>22</v>
      </c>
      <c r="H856">
        <v>5</v>
      </c>
      <c r="I856">
        <v>3413</v>
      </c>
      <c r="J856">
        <v>17065</v>
      </c>
    </row>
    <row r="857" spans="1:10" x14ac:dyDescent="0.3">
      <c r="A857">
        <v>1356</v>
      </c>
      <c r="B857" t="s">
        <v>450</v>
      </c>
      <c r="C857" t="str">
        <f>TEXT(Sales[[#This Row],[Order_Date]],"mmm")</f>
        <v>Jul</v>
      </c>
      <c r="D857" t="s">
        <v>404</v>
      </c>
      <c r="E857" t="s">
        <v>42</v>
      </c>
      <c r="F857" t="s">
        <v>83</v>
      </c>
      <c r="G857" t="s">
        <v>57</v>
      </c>
      <c r="H857">
        <v>2</v>
      </c>
      <c r="I857">
        <v>4689</v>
      </c>
      <c r="J857">
        <v>9378</v>
      </c>
    </row>
    <row r="858" spans="1:10" x14ac:dyDescent="0.3">
      <c r="A858">
        <v>1594</v>
      </c>
      <c r="B858" t="s">
        <v>492</v>
      </c>
      <c r="C858" t="str">
        <f>TEXT(Sales[[#This Row],[Order_Date]],"mmm")</f>
        <v>Jan</v>
      </c>
      <c r="D858" t="s">
        <v>126</v>
      </c>
      <c r="E858" t="s">
        <v>11</v>
      </c>
      <c r="F858" t="s">
        <v>89</v>
      </c>
      <c r="G858" t="s">
        <v>75</v>
      </c>
      <c r="H858">
        <v>4</v>
      </c>
      <c r="I858">
        <v>4152</v>
      </c>
      <c r="J858">
        <v>16608</v>
      </c>
    </row>
    <row r="859" spans="1:10" x14ac:dyDescent="0.3">
      <c r="A859">
        <v>1223</v>
      </c>
      <c r="B859" t="s">
        <v>637</v>
      </c>
      <c r="C859" t="str">
        <f>TEXT(Sales[[#This Row],[Order_Date]],"mmm")</f>
        <v>Apr</v>
      </c>
      <c r="D859" t="s">
        <v>314</v>
      </c>
      <c r="E859" t="s">
        <v>11</v>
      </c>
      <c r="F859" t="s">
        <v>83</v>
      </c>
      <c r="G859" t="s">
        <v>112</v>
      </c>
      <c r="H859">
        <v>4</v>
      </c>
      <c r="I859">
        <v>3698</v>
      </c>
      <c r="J859">
        <v>14792</v>
      </c>
    </row>
    <row r="860" spans="1:10" x14ac:dyDescent="0.3">
      <c r="A860">
        <v>1057</v>
      </c>
      <c r="B860" t="s">
        <v>591</v>
      </c>
      <c r="C860" t="str">
        <f>TEXT(Sales[[#This Row],[Order_Date]],"mmm")</f>
        <v>Feb</v>
      </c>
      <c r="D860" t="s">
        <v>523</v>
      </c>
      <c r="E860" t="s">
        <v>25</v>
      </c>
      <c r="F860" t="s">
        <v>136</v>
      </c>
      <c r="G860" t="s">
        <v>128</v>
      </c>
      <c r="H860">
        <v>5</v>
      </c>
      <c r="I860">
        <v>2972</v>
      </c>
      <c r="J860">
        <v>14860</v>
      </c>
    </row>
    <row r="861" spans="1:10" x14ac:dyDescent="0.3">
      <c r="A861">
        <v>1413</v>
      </c>
      <c r="B861" t="s">
        <v>328</v>
      </c>
      <c r="C861" t="str">
        <f>TEXT(Sales[[#This Row],[Order_Date]],"mmm")</f>
        <v>May</v>
      </c>
      <c r="D861" t="s">
        <v>598</v>
      </c>
      <c r="E861" t="s">
        <v>16</v>
      </c>
      <c r="F861" t="s">
        <v>83</v>
      </c>
      <c r="G861" t="s">
        <v>93</v>
      </c>
      <c r="H861">
        <v>3</v>
      </c>
      <c r="I861">
        <v>1613</v>
      </c>
      <c r="J861">
        <v>4839</v>
      </c>
    </row>
    <row r="862" spans="1:10" x14ac:dyDescent="0.3">
      <c r="A862">
        <v>1091</v>
      </c>
      <c r="B862" t="s">
        <v>638</v>
      </c>
      <c r="C862" t="str">
        <f>TEXT(Sales[[#This Row],[Order_Date]],"mmm")</f>
        <v>Aug</v>
      </c>
      <c r="D862" t="s">
        <v>116</v>
      </c>
      <c r="E862" t="s">
        <v>25</v>
      </c>
      <c r="F862" t="s">
        <v>136</v>
      </c>
      <c r="G862" t="s">
        <v>22</v>
      </c>
      <c r="H862">
        <v>1</v>
      </c>
      <c r="I862">
        <v>1183</v>
      </c>
      <c r="J862">
        <v>1183</v>
      </c>
    </row>
    <row r="863" spans="1:10" x14ac:dyDescent="0.3">
      <c r="A863">
        <v>1521</v>
      </c>
      <c r="B863" t="s">
        <v>250</v>
      </c>
      <c r="C863" t="str">
        <f>TEXT(Sales[[#This Row],[Order_Date]],"mmm")</f>
        <v>Apr</v>
      </c>
      <c r="D863" t="s">
        <v>584</v>
      </c>
      <c r="E863" t="s">
        <v>11</v>
      </c>
      <c r="F863" t="s">
        <v>136</v>
      </c>
      <c r="G863" t="s">
        <v>22</v>
      </c>
      <c r="H863">
        <v>4</v>
      </c>
      <c r="I863">
        <v>4166</v>
      </c>
      <c r="J863">
        <v>16664</v>
      </c>
    </row>
    <row r="864" spans="1:10" x14ac:dyDescent="0.3">
      <c r="A864">
        <v>1305</v>
      </c>
      <c r="B864" t="s">
        <v>297</v>
      </c>
      <c r="C864" t="str">
        <f>TEXT(Sales[[#This Row],[Order_Date]],"mmm")</f>
        <v>Oct</v>
      </c>
      <c r="D864" t="s">
        <v>311</v>
      </c>
      <c r="E864" t="s">
        <v>11</v>
      </c>
      <c r="F864" t="s">
        <v>83</v>
      </c>
      <c r="G864" t="s">
        <v>112</v>
      </c>
      <c r="H864">
        <v>4</v>
      </c>
      <c r="I864">
        <v>361</v>
      </c>
      <c r="J864">
        <v>1444</v>
      </c>
    </row>
    <row r="865" spans="1:10" x14ac:dyDescent="0.3">
      <c r="A865">
        <v>1542</v>
      </c>
      <c r="B865" t="s">
        <v>575</v>
      </c>
      <c r="C865" t="str">
        <f>TEXT(Sales[[#This Row],[Order_Date]],"mmm")</f>
        <v>Sep</v>
      </c>
      <c r="D865" t="s">
        <v>361</v>
      </c>
      <c r="E865" t="s">
        <v>11</v>
      </c>
      <c r="F865" t="s">
        <v>83</v>
      </c>
      <c r="G865" t="s">
        <v>657</v>
      </c>
      <c r="H865">
        <v>5</v>
      </c>
      <c r="I865">
        <v>1674</v>
      </c>
      <c r="J865">
        <v>8370</v>
      </c>
    </row>
    <row r="866" spans="1:10" x14ac:dyDescent="0.3">
      <c r="A866">
        <v>1321</v>
      </c>
      <c r="B866" t="s">
        <v>574</v>
      </c>
      <c r="C866" t="str">
        <f>TEXT(Sales[[#This Row],[Order_Date]],"mmm")</f>
        <v>Mar</v>
      </c>
      <c r="D866" t="s">
        <v>639</v>
      </c>
      <c r="E866" t="s">
        <v>11</v>
      </c>
      <c r="F866" t="s">
        <v>17</v>
      </c>
      <c r="G866" t="s">
        <v>18</v>
      </c>
      <c r="H866">
        <v>1</v>
      </c>
      <c r="I866">
        <v>4807</v>
      </c>
      <c r="J866">
        <v>4807</v>
      </c>
    </row>
    <row r="867" spans="1:10" x14ac:dyDescent="0.3">
      <c r="A867">
        <v>1086</v>
      </c>
      <c r="B867" t="s">
        <v>589</v>
      </c>
      <c r="C867" t="str">
        <f>TEXT(Sales[[#This Row],[Order_Date]],"mmm")</f>
        <v>Mar</v>
      </c>
      <c r="D867" t="s">
        <v>562</v>
      </c>
      <c r="E867" t="s">
        <v>11</v>
      </c>
      <c r="F867" t="s">
        <v>89</v>
      </c>
      <c r="G867" t="s">
        <v>95</v>
      </c>
      <c r="H867">
        <v>1</v>
      </c>
      <c r="I867">
        <v>2234</v>
      </c>
      <c r="J867">
        <v>2234</v>
      </c>
    </row>
    <row r="868" spans="1:10" x14ac:dyDescent="0.3">
      <c r="A868">
        <v>1531</v>
      </c>
      <c r="B868" t="s">
        <v>244</v>
      </c>
      <c r="C868" t="str">
        <f>TEXT(Sales[[#This Row],[Order_Date]],"mmm")</f>
        <v>May</v>
      </c>
      <c r="D868" t="s">
        <v>66</v>
      </c>
      <c r="E868" t="s">
        <v>25</v>
      </c>
      <c r="F868" t="s">
        <v>136</v>
      </c>
      <c r="G868" t="s">
        <v>128</v>
      </c>
      <c r="H868">
        <v>5</v>
      </c>
      <c r="I868">
        <v>3084</v>
      </c>
      <c r="J868">
        <v>15420</v>
      </c>
    </row>
    <row r="869" spans="1:10" x14ac:dyDescent="0.3">
      <c r="A869">
        <v>1101</v>
      </c>
      <c r="B869" t="s">
        <v>125</v>
      </c>
      <c r="C869" t="str">
        <f>TEXT(Sales[[#This Row],[Order_Date]],"mmm")</f>
        <v>Dec</v>
      </c>
      <c r="D869" t="s">
        <v>500</v>
      </c>
      <c r="E869" t="s">
        <v>16</v>
      </c>
      <c r="F869" t="s">
        <v>83</v>
      </c>
      <c r="G869" t="s">
        <v>93</v>
      </c>
      <c r="H869">
        <v>2</v>
      </c>
      <c r="I869">
        <v>2655</v>
      </c>
      <c r="J869">
        <v>5310</v>
      </c>
    </row>
    <row r="870" spans="1:10" x14ac:dyDescent="0.3">
      <c r="A870">
        <v>1137</v>
      </c>
      <c r="B870" t="s">
        <v>307</v>
      </c>
      <c r="C870" t="str">
        <f>TEXT(Sales[[#This Row],[Order_Date]],"mmm")</f>
        <v>Nov</v>
      </c>
      <c r="D870" t="s">
        <v>378</v>
      </c>
      <c r="E870" t="s">
        <v>42</v>
      </c>
      <c r="F870" t="s">
        <v>17</v>
      </c>
      <c r="G870" t="s">
        <v>18</v>
      </c>
      <c r="H870">
        <v>2</v>
      </c>
      <c r="I870">
        <v>3657</v>
      </c>
      <c r="J870">
        <v>7314</v>
      </c>
    </row>
    <row r="871" spans="1:10" x14ac:dyDescent="0.3">
      <c r="A871">
        <v>1390</v>
      </c>
      <c r="B871" t="s">
        <v>627</v>
      </c>
      <c r="C871" t="str">
        <f>TEXT(Sales[[#This Row],[Order_Date]],"mmm")</f>
        <v>Nov</v>
      </c>
      <c r="D871" t="s">
        <v>608</v>
      </c>
      <c r="E871" t="s">
        <v>25</v>
      </c>
      <c r="F871" t="s">
        <v>17</v>
      </c>
      <c r="G871" t="s">
        <v>53</v>
      </c>
      <c r="H871">
        <v>3</v>
      </c>
      <c r="I871">
        <v>3684</v>
      </c>
      <c r="J871">
        <v>11052</v>
      </c>
    </row>
    <row r="872" spans="1:10" x14ac:dyDescent="0.3">
      <c r="A872">
        <v>1208</v>
      </c>
      <c r="B872" t="s">
        <v>259</v>
      </c>
      <c r="C872" t="str">
        <f>TEXT(Sales[[#This Row],[Order_Date]],"mmm")</f>
        <v>Feb</v>
      </c>
      <c r="D872" t="s">
        <v>180</v>
      </c>
      <c r="E872" t="s">
        <v>11</v>
      </c>
      <c r="F872" t="s">
        <v>89</v>
      </c>
      <c r="G872" t="s">
        <v>13</v>
      </c>
      <c r="H872">
        <v>4</v>
      </c>
      <c r="I872">
        <v>1457</v>
      </c>
      <c r="J872">
        <v>5828</v>
      </c>
    </row>
    <row r="873" spans="1:10" x14ac:dyDescent="0.3">
      <c r="A873">
        <v>1388</v>
      </c>
      <c r="B873" t="s">
        <v>313</v>
      </c>
      <c r="C873" t="str">
        <f>TEXT(Sales[[#This Row],[Order_Date]],"mmm")</f>
        <v>Jan</v>
      </c>
      <c r="D873" t="s">
        <v>386</v>
      </c>
      <c r="E873" t="s">
        <v>25</v>
      </c>
      <c r="F873" t="s">
        <v>17</v>
      </c>
      <c r="G873" t="s">
        <v>72</v>
      </c>
      <c r="H873">
        <v>5</v>
      </c>
      <c r="I873">
        <v>1101</v>
      </c>
      <c r="J873">
        <v>5505</v>
      </c>
    </row>
    <row r="874" spans="1:10" x14ac:dyDescent="0.3">
      <c r="A874">
        <v>1337</v>
      </c>
      <c r="B874" t="s">
        <v>467</v>
      </c>
      <c r="C874" t="str">
        <f>TEXT(Sales[[#This Row],[Order_Date]],"mmm")</f>
        <v>Nov</v>
      </c>
      <c r="D874" t="s">
        <v>501</v>
      </c>
      <c r="E874" t="s">
        <v>11</v>
      </c>
      <c r="F874" t="s">
        <v>89</v>
      </c>
      <c r="G874" t="s">
        <v>657</v>
      </c>
      <c r="H874">
        <v>2</v>
      </c>
      <c r="I874">
        <v>2441</v>
      </c>
      <c r="J874">
        <v>4882</v>
      </c>
    </row>
    <row r="875" spans="1:10" x14ac:dyDescent="0.3">
      <c r="A875">
        <v>1227</v>
      </c>
      <c r="B875" t="s">
        <v>396</v>
      </c>
      <c r="C875" t="str">
        <f>TEXT(Sales[[#This Row],[Order_Date]],"mmm")</f>
        <v>Jul</v>
      </c>
      <c r="D875" t="s">
        <v>193</v>
      </c>
      <c r="E875" t="s">
        <v>42</v>
      </c>
      <c r="F875" t="s">
        <v>83</v>
      </c>
      <c r="G875" t="s">
        <v>32</v>
      </c>
      <c r="H875">
        <v>5</v>
      </c>
      <c r="I875">
        <v>4210</v>
      </c>
      <c r="J875">
        <v>21050</v>
      </c>
    </row>
    <row r="876" spans="1:10" x14ac:dyDescent="0.3">
      <c r="A876">
        <v>1585</v>
      </c>
      <c r="B876" t="s">
        <v>275</v>
      </c>
      <c r="C876" t="str">
        <f>TEXT(Sales[[#This Row],[Order_Date]],"mmm")</f>
        <v>May</v>
      </c>
      <c r="D876" t="s">
        <v>378</v>
      </c>
      <c r="E876" t="s">
        <v>42</v>
      </c>
      <c r="F876" t="s">
        <v>89</v>
      </c>
      <c r="G876" t="s">
        <v>133</v>
      </c>
      <c r="H876">
        <v>2</v>
      </c>
      <c r="I876">
        <v>2805</v>
      </c>
      <c r="J876">
        <v>5610</v>
      </c>
    </row>
    <row r="877" spans="1:10" x14ac:dyDescent="0.3">
      <c r="A877">
        <v>1353</v>
      </c>
      <c r="B877" t="s">
        <v>223</v>
      </c>
      <c r="C877" t="str">
        <f>TEXT(Sales[[#This Row],[Order_Date]],"mmm")</f>
        <v>Dec</v>
      </c>
      <c r="D877" t="s">
        <v>318</v>
      </c>
      <c r="E877" t="s">
        <v>42</v>
      </c>
      <c r="F877" t="s">
        <v>136</v>
      </c>
      <c r="G877" t="s">
        <v>46</v>
      </c>
      <c r="H877">
        <v>1</v>
      </c>
      <c r="I877">
        <v>4407</v>
      </c>
      <c r="J877">
        <v>4407</v>
      </c>
    </row>
    <row r="878" spans="1:10" x14ac:dyDescent="0.3">
      <c r="A878">
        <v>1146</v>
      </c>
      <c r="B878" t="s">
        <v>396</v>
      </c>
      <c r="C878" t="str">
        <f>TEXT(Sales[[#This Row],[Order_Date]],"mmm")</f>
        <v>Jul</v>
      </c>
      <c r="D878" t="s">
        <v>460</v>
      </c>
      <c r="E878" t="s">
        <v>16</v>
      </c>
      <c r="F878" t="s">
        <v>89</v>
      </c>
      <c r="G878" t="s">
        <v>27</v>
      </c>
      <c r="H878">
        <v>5</v>
      </c>
      <c r="I878">
        <v>3626</v>
      </c>
      <c r="J878">
        <v>18130</v>
      </c>
    </row>
    <row r="879" spans="1:10" x14ac:dyDescent="0.3">
      <c r="A879">
        <v>1362</v>
      </c>
      <c r="B879" t="s">
        <v>320</v>
      </c>
      <c r="C879" t="str">
        <f>TEXT(Sales[[#This Row],[Order_Date]],"mmm")</f>
        <v>Aug</v>
      </c>
      <c r="D879" t="s">
        <v>288</v>
      </c>
      <c r="E879" t="s">
        <v>16</v>
      </c>
      <c r="F879" t="s">
        <v>89</v>
      </c>
      <c r="G879" t="s">
        <v>95</v>
      </c>
      <c r="H879">
        <v>3</v>
      </c>
      <c r="I879">
        <v>912</v>
      </c>
      <c r="J879">
        <v>2736</v>
      </c>
    </row>
    <row r="880" spans="1:10" x14ac:dyDescent="0.3">
      <c r="A880">
        <v>1320</v>
      </c>
      <c r="B880" t="s">
        <v>290</v>
      </c>
      <c r="C880" t="str">
        <f>TEXT(Sales[[#This Row],[Order_Date]],"mmm")</f>
        <v>Feb</v>
      </c>
      <c r="D880" t="s">
        <v>38</v>
      </c>
      <c r="E880" t="s">
        <v>25</v>
      </c>
      <c r="F880" t="s">
        <v>83</v>
      </c>
      <c r="G880" t="s">
        <v>32</v>
      </c>
      <c r="H880">
        <v>2</v>
      </c>
      <c r="I880">
        <v>4912</v>
      </c>
      <c r="J880">
        <v>9824</v>
      </c>
    </row>
    <row r="881" spans="1:10" x14ac:dyDescent="0.3">
      <c r="A881">
        <v>1567</v>
      </c>
      <c r="B881" t="s">
        <v>640</v>
      </c>
      <c r="C881" t="str">
        <f>TEXT(Sales[[#This Row],[Order_Date]],"mmm")</f>
        <v>Sep</v>
      </c>
      <c r="D881" t="s">
        <v>251</v>
      </c>
      <c r="E881" t="s">
        <v>16</v>
      </c>
      <c r="F881" t="s">
        <v>83</v>
      </c>
      <c r="G881" t="s">
        <v>78</v>
      </c>
      <c r="H881">
        <v>4</v>
      </c>
      <c r="I881">
        <v>4418</v>
      </c>
      <c r="J881">
        <v>17672</v>
      </c>
    </row>
    <row r="882" spans="1:10" x14ac:dyDescent="0.3">
      <c r="A882">
        <v>1545</v>
      </c>
      <c r="B882" t="s">
        <v>615</v>
      </c>
      <c r="C882" t="str">
        <f>TEXT(Sales[[#This Row],[Order_Date]],"mmm")</f>
        <v>Dec</v>
      </c>
      <c r="D882" t="s">
        <v>348</v>
      </c>
      <c r="E882" t="s">
        <v>42</v>
      </c>
      <c r="F882" t="s">
        <v>136</v>
      </c>
      <c r="G882" t="s">
        <v>124</v>
      </c>
      <c r="H882">
        <v>4</v>
      </c>
      <c r="I882">
        <v>4577</v>
      </c>
      <c r="J882">
        <v>18308</v>
      </c>
    </row>
    <row r="883" spans="1:10" x14ac:dyDescent="0.3">
      <c r="A883">
        <v>1540</v>
      </c>
      <c r="B883" t="s">
        <v>300</v>
      </c>
      <c r="C883" t="str">
        <f>TEXT(Sales[[#This Row],[Order_Date]],"mmm")</f>
        <v>Dec</v>
      </c>
      <c r="D883" t="s">
        <v>201</v>
      </c>
      <c r="E883" t="s">
        <v>11</v>
      </c>
      <c r="F883" t="s">
        <v>83</v>
      </c>
      <c r="G883" t="s">
        <v>57</v>
      </c>
      <c r="H883">
        <v>5</v>
      </c>
      <c r="I883">
        <v>2043</v>
      </c>
      <c r="J883">
        <v>10215</v>
      </c>
    </row>
    <row r="884" spans="1:10" x14ac:dyDescent="0.3">
      <c r="A884">
        <v>1136</v>
      </c>
      <c r="B884" t="s">
        <v>73</v>
      </c>
      <c r="C884" t="str">
        <f>TEXT(Sales[[#This Row],[Order_Date]],"mmm")</f>
        <v>Sep</v>
      </c>
      <c r="D884" t="s">
        <v>167</v>
      </c>
      <c r="E884" t="s">
        <v>11</v>
      </c>
      <c r="F884" t="s">
        <v>83</v>
      </c>
      <c r="G884" t="s">
        <v>78</v>
      </c>
      <c r="H884">
        <v>2</v>
      </c>
      <c r="I884">
        <v>3257</v>
      </c>
      <c r="J884">
        <v>6514</v>
      </c>
    </row>
    <row r="885" spans="1:10" x14ac:dyDescent="0.3">
      <c r="A885">
        <v>1255</v>
      </c>
      <c r="B885" t="s">
        <v>506</v>
      </c>
      <c r="C885" t="str">
        <f>TEXT(Sales[[#This Row],[Order_Date]],"mmm")</f>
        <v>Oct</v>
      </c>
      <c r="D885" t="s">
        <v>126</v>
      </c>
      <c r="E885" t="s">
        <v>16</v>
      </c>
      <c r="F885" t="s">
        <v>83</v>
      </c>
      <c r="G885" t="s">
        <v>112</v>
      </c>
      <c r="H885">
        <v>3</v>
      </c>
      <c r="I885">
        <v>2368</v>
      </c>
      <c r="J885">
        <v>7104</v>
      </c>
    </row>
    <row r="886" spans="1:10" x14ac:dyDescent="0.3">
      <c r="A886">
        <v>1582</v>
      </c>
      <c r="B886" t="s">
        <v>394</v>
      </c>
      <c r="C886" t="str">
        <f>TEXT(Sales[[#This Row],[Order_Date]],"mmm")</f>
        <v>Jul</v>
      </c>
      <c r="D886" t="s">
        <v>15</v>
      </c>
      <c r="E886" t="s">
        <v>657</v>
      </c>
      <c r="F886" t="s">
        <v>89</v>
      </c>
      <c r="G886" t="s">
        <v>133</v>
      </c>
      <c r="H886">
        <v>5</v>
      </c>
      <c r="I886">
        <v>4199</v>
      </c>
      <c r="J886">
        <v>20995</v>
      </c>
    </row>
    <row r="887" spans="1:10" x14ac:dyDescent="0.3">
      <c r="A887">
        <v>1471</v>
      </c>
      <c r="B887" t="s">
        <v>195</v>
      </c>
      <c r="C887" t="str">
        <f>TEXT(Sales[[#This Row],[Order_Date]],"mmm")</f>
        <v>Jun</v>
      </c>
      <c r="D887" t="s">
        <v>532</v>
      </c>
      <c r="E887" t="s">
        <v>25</v>
      </c>
      <c r="F887" t="s">
        <v>89</v>
      </c>
      <c r="G887" t="s">
        <v>27</v>
      </c>
      <c r="H887">
        <v>2</v>
      </c>
      <c r="I887">
        <v>3493</v>
      </c>
      <c r="J887">
        <v>6986</v>
      </c>
    </row>
    <row r="888" spans="1:10" x14ac:dyDescent="0.3">
      <c r="A888">
        <v>1503</v>
      </c>
      <c r="B888" t="s">
        <v>337</v>
      </c>
      <c r="C888" t="str">
        <f>TEXT(Sales[[#This Row],[Order_Date]],"mmm")</f>
        <v>Apr</v>
      </c>
      <c r="D888" t="s">
        <v>132</v>
      </c>
      <c r="E888" t="s">
        <v>16</v>
      </c>
      <c r="F888" t="s">
        <v>17</v>
      </c>
      <c r="G888" t="s">
        <v>53</v>
      </c>
      <c r="H888">
        <v>1</v>
      </c>
      <c r="I888">
        <v>1474</v>
      </c>
      <c r="J888">
        <v>1474</v>
      </c>
    </row>
    <row r="889" spans="1:10" x14ac:dyDescent="0.3">
      <c r="A889">
        <v>1481</v>
      </c>
      <c r="B889" t="s">
        <v>255</v>
      </c>
      <c r="C889" t="str">
        <f>TEXT(Sales[[#This Row],[Order_Date]],"mmm")</f>
        <v>Jul</v>
      </c>
      <c r="D889" t="s">
        <v>291</v>
      </c>
      <c r="E889" t="s">
        <v>11</v>
      </c>
      <c r="F889" t="s">
        <v>89</v>
      </c>
      <c r="G889" t="s">
        <v>95</v>
      </c>
      <c r="H889">
        <v>5</v>
      </c>
      <c r="I889">
        <v>2407</v>
      </c>
      <c r="J889">
        <v>12035</v>
      </c>
    </row>
    <row r="890" spans="1:10" x14ac:dyDescent="0.3">
      <c r="A890">
        <v>1449</v>
      </c>
      <c r="B890" t="s">
        <v>502</v>
      </c>
      <c r="C890" t="str">
        <f>TEXT(Sales[[#This Row],[Order_Date]],"mmm")</f>
        <v>Mar</v>
      </c>
      <c r="D890" t="s">
        <v>146</v>
      </c>
      <c r="E890" t="s">
        <v>25</v>
      </c>
      <c r="F890" t="s">
        <v>89</v>
      </c>
      <c r="G890" t="s">
        <v>75</v>
      </c>
      <c r="H890">
        <v>2</v>
      </c>
      <c r="I890">
        <v>1106</v>
      </c>
      <c r="J890">
        <v>2212</v>
      </c>
    </row>
    <row r="891" spans="1:10" x14ac:dyDescent="0.3">
      <c r="A891">
        <v>1404</v>
      </c>
      <c r="B891" t="s">
        <v>127</v>
      </c>
      <c r="C891" t="str">
        <f>TEXT(Sales[[#This Row],[Order_Date]],"mmm")</f>
        <v>Aug</v>
      </c>
      <c r="D891" t="s">
        <v>210</v>
      </c>
      <c r="E891" t="s">
        <v>16</v>
      </c>
      <c r="F891" t="s">
        <v>89</v>
      </c>
      <c r="G891" t="s">
        <v>27</v>
      </c>
      <c r="H891">
        <v>4</v>
      </c>
      <c r="I891">
        <v>2377</v>
      </c>
      <c r="J891">
        <v>9508</v>
      </c>
    </row>
    <row r="892" spans="1:10" x14ac:dyDescent="0.3">
      <c r="A892">
        <v>1507</v>
      </c>
      <c r="B892" t="s">
        <v>317</v>
      </c>
      <c r="C892" t="str">
        <f>TEXT(Sales[[#This Row],[Order_Date]],"mmm")</f>
        <v>Dec</v>
      </c>
      <c r="D892" t="s">
        <v>289</v>
      </c>
      <c r="E892" t="s">
        <v>11</v>
      </c>
      <c r="F892" t="s">
        <v>17</v>
      </c>
      <c r="G892" t="s">
        <v>101</v>
      </c>
      <c r="H892">
        <v>2</v>
      </c>
      <c r="I892">
        <v>1098</v>
      </c>
      <c r="J892">
        <v>2196</v>
      </c>
    </row>
    <row r="893" spans="1:10" x14ac:dyDescent="0.3">
      <c r="A893">
        <v>1129</v>
      </c>
      <c r="B893" t="s">
        <v>545</v>
      </c>
      <c r="C893" t="str">
        <f>TEXT(Sales[[#This Row],[Order_Date]],"mmm")</f>
        <v>Mar</v>
      </c>
      <c r="D893" t="s">
        <v>452</v>
      </c>
      <c r="E893" t="s">
        <v>25</v>
      </c>
      <c r="F893" t="s">
        <v>83</v>
      </c>
      <c r="G893" t="s">
        <v>93</v>
      </c>
      <c r="H893">
        <v>4</v>
      </c>
      <c r="I893">
        <v>265</v>
      </c>
      <c r="J893">
        <v>1060</v>
      </c>
    </row>
    <row r="894" spans="1:10" x14ac:dyDescent="0.3">
      <c r="A894">
        <v>1497</v>
      </c>
      <c r="B894" t="s">
        <v>410</v>
      </c>
      <c r="C894" t="str">
        <f>TEXT(Sales[[#This Row],[Order_Date]],"mmm")</f>
        <v>Feb</v>
      </c>
      <c r="D894" t="s">
        <v>433</v>
      </c>
      <c r="E894" t="s">
        <v>11</v>
      </c>
      <c r="F894" t="s">
        <v>136</v>
      </c>
      <c r="G894" t="s">
        <v>128</v>
      </c>
      <c r="H894">
        <v>2</v>
      </c>
      <c r="I894">
        <v>2503</v>
      </c>
      <c r="J894">
        <v>5006</v>
      </c>
    </row>
    <row r="895" spans="1:10" x14ac:dyDescent="0.3">
      <c r="A895">
        <v>1253</v>
      </c>
      <c r="B895" t="s">
        <v>628</v>
      </c>
      <c r="C895" t="str">
        <f>TEXT(Sales[[#This Row],[Order_Date]],"mmm")</f>
        <v>Dec</v>
      </c>
      <c r="D895" t="s">
        <v>231</v>
      </c>
      <c r="E895" t="s">
        <v>25</v>
      </c>
      <c r="F895" t="s">
        <v>136</v>
      </c>
      <c r="G895" t="s">
        <v>128</v>
      </c>
      <c r="H895">
        <v>5</v>
      </c>
      <c r="I895">
        <v>1684</v>
      </c>
      <c r="J895">
        <v>8420</v>
      </c>
    </row>
    <row r="896" spans="1:10" x14ac:dyDescent="0.3">
      <c r="A896">
        <v>1152</v>
      </c>
      <c r="B896" t="s">
        <v>70</v>
      </c>
      <c r="C896" t="str">
        <f>TEXT(Sales[[#This Row],[Order_Date]],"mmm")</f>
        <v>Apr</v>
      </c>
      <c r="D896" t="s">
        <v>565</v>
      </c>
      <c r="E896" t="s">
        <v>42</v>
      </c>
      <c r="F896" t="s">
        <v>17</v>
      </c>
      <c r="G896" t="s">
        <v>53</v>
      </c>
      <c r="H896">
        <v>2</v>
      </c>
      <c r="I896">
        <v>1397</v>
      </c>
      <c r="J896">
        <v>2794</v>
      </c>
    </row>
    <row r="897" spans="1:10" x14ac:dyDescent="0.3">
      <c r="A897">
        <v>1093</v>
      </c>
      <c r="B897" t="s">
        <v>641</v>
      </c>
      <c r="C897" t="str">
        <f>TEXT(Sales[[#This Row],[Order_Date]],"mmm")</f>
        <v>Jan</v>
      </c>
      <c r="D897" t="s">
        <v>182</v>
      </c>
      <c r="E897" t="s">
        <v>16</v>
      </c>
      <c r="F897" t="s">
        <v>136</v>
      </c>
      <c r="G897" t="s">
        <v>67</v>
      </c>
      <c r="H897">
        <v>2</v>
      </c>
      <c r="I897">
        <v>2953</v>
      </c>
      <c r="J897">
        <v>5906</v>
      </c>
    </row>
    <row r="898" spans="1:10" x14ac:dyDescent="0.3">
      <c r="A898">
        <v>1437</v>
      </c>
      <c r="B898" t="s">
        <v>483</v>
      </c>
      <c r="C898" t="str">
        <f>TEXT(Sales[[#This Row],[Order_Date]],"mmm")</f>
        <v>Nov</v>
      </c>
      <c r="D898" t="s">
        <v>454</v>
      </c>
      <c r="E898" t="s">
        <v>25</v>
      </c>
      <c r="F898" t="s">
        <v>89</v>
      </c>
      <c r="G898" t="s">
        <v>27</v>
      </c>
      <c r="H898">
        <v>3</v>
      </c>
      <c r="I898">
        <v>3075</v>
      </c>
      <c r="J898">
        <v>9225</v>
      </c>
    </row>
    <row r="899" spans="1:10" x14ac:dyDescent="0.3">
      <c r="A899">
        <v>1048</v>
      </c>
      <c r="B899" t="s">
        <v>479</v>
      </c>
      <c r="C899" t="str">
        <f>TEXT(Sales[[#This Row],[Order_Date]],"mmm")</f>
        <v>Apr</v>
      </c>
      <c r="D899" t="s">
        <v>639</v>
      </c>
      <c r="E899" t="s">
        <v>16</v>
      </c>
      <c r="F899" t="s">
        <v>83</v>
      </c>
      <c r="G899" t="s">
        <v>32</v>
      </c>
      <c r="H899">
        <v>3</v>
      </c>
      <c r="I899">
        <v>4067</v>
      </c>
      <c r="J899">
        <v>12201</v>
      </c>
    </row>
    <row r="900" spans="1:10" x14ac:dyDescent="0.3">
      <c r="A900">
        <v>1441</v>
      </c>
      <c r="B900" t="s">
        <v>553</v>
      </c>
      <c r="C900" t="str">
        <f>TEXT(Sales[[#This Row],[Order_Date]],"mmm")</f>
        <v>Apr</v>
      </c>
      <c r="D900" t="s">
        <v>511</v>
      </c>
      <c r="E900" t="s">
        <v>42</v>
      </c>
      <c r="F900" t="s">
        <v>136</v>
      </c>
      <c r="G900" t="s">
        <v>22</v>
      </c>
      <c r="H900">
        <v>1</v>
      </c>
      <c r="I900">
        <v>993</v>
      </c>
      <c r="J900">
        <v>993</v>
      </c>
    </row>
    <row r="901" spans="1:10" x14ac:dyDescent="0.3">
      <c r="A901">
        <v>1133</v>
      </c>
      <c r="B901" t="s">
        <v>478</v>
      </c>
      <c r="C901" t="str">
        <f>TEXT(Sales[[#This Row],[Order_Date]],"mmm")</f>
        <v>Jun</v>
      </c>
      <c r="D901" t="s">
        <v>512</v>
      </c>
      <c r="E901" t="s">
        <v>16</v>
      </c>
      <c r="F901" t="s">
        <v>89</v>
      </c>
      <c r="G901" t="s">
        <v>133</v>
      </c>
      <c r="H901">
        <v>3</v>
      </c>
      <c r="I901">
        <v>1920</v>
      </c>
      <c r="J901">
        <v>5760</v>
      </c>
    </row>
    <row r="902" spans="1:10" x14ac:dyDescent="0.3">
      <c r="A902">
        <v>1108</v>
      </c>
      <c r="B902" t="s">
        <v>279</v>
      </c>
      <c r="C902" t="str">
        <f>TEXT(Sales[[#This Row],[Order_Date]],"mmm")</f>
        <v>Mar</v>
      </c>
      <c r="D902" t="s">
        <v>180</v>
      </c>
      <c r="E902" t="s">
        <v>16</v>
      </c>
      <c r="F902" t="s">
        <v>83</v>
      </c>
      <c r="G902" t="s">
        <v>32</v>
      </c>
      <c r="H902">
        <v>4</v>
      </c>
      <c r="I902">
        <v>1008</v>
      </c>
      <c r="J902">
        <v>4032</v>
      </c>
    </row>
    <row r="903" spans="1:10" x14ac:dyDescent="0.3">
      <c r="A903">
        <v>1351</v>
      </c>
      <c r="B903" t="s">
        <v>242</v>
      </c>
      <c r="C903" t="str">
        <f>TEXT(Sales[[#This Row],[Order_Date]],"mmm")</f>
        <v>Jun</v>
      </c>
      <c r="D903" t="s">
        <v>278</v>
      </c>
      <c r="E903" t="s">
        <v>42</v>
      </c>
      <c r="F903" t="s">
        <v>136</v>
      </c>
      <c r="G903" t="s">
        <v>128</v>
      </c>
      <c r="H903">
        <v>2</v>
      </c>
      <c r="I903">
        <v>1770</v>
      </c>
      <c r="J903">
        <v>3540</v>
      </c>
    </row>
    <row r="904" spans="1:10" x14ac:dyDescent="0.3">
      <c r="A904">
        <v>1573</v>
      </c>
      <c r="B904" t="s">
        <v>642</v>
      </c>
      <c r="C904" t="str">
        <f>TEXT(Sales[[#This Row],[Order_Date]],"mmm")</f>
        <v>Jun</v>
      </c>
      <c r="D904" t="s">
        <v>388</v>
      </c>
      <c r="E904" t="s">
        <v>11</v>
      </c>
      <c r="F904" t="s">
        <v>89</v>
      </c>
      <c r="G904" t="s">
        <v>75</v>
      </c>
      <c r="H904">
        <v>1</v>
      </c>
      <c r="I904">
        <v>4155</v>
      </c>
      <c r="J904">
        <v>4155</v>
      </c>
    </row>
    <row r="905" spans="1:10" x14ac:dyDescent="0.3">
      <c r="A905">
        <v>1515</v>
      </c>
      <c r="B905" t="s">
        <v>401</v>
      </c>
      <c r="C905" t="str">
        <f>TEXT(Sales[[#This Row],[Order_Date]],"mmm")</f>
        <v>Jan</v>
      </c>
      <c r="D905" t="s">
        <v>218</v>
      </c>
      <c r="E905" t="s">
        <v>42</v>
      </c>
      <c r="F905" t="s">
        <v>89</v>
      </c>
      <c r="G905" t="s">
        <v>13</v>
      </c>
      <c r="H905">
        <v>5</v>
      </c>
      <c r="I905">
        <v>698</v>
      </c>
      <c r="J905">
        <v>3490</v>
      </c>
    </row>
    <row r="906" spans="1:10" x14ac:dyDescent="0.3">
      <c r="A906">
        <v>1407</v>
      </c>
      <c r="B906" t="s">
        <v>334</v>
      </c>
      <c r="C906" t="str">
        <f>TEXT(Sales[[#This Row],[Order_Date]],"mmm")</f>
        <v>Sep</v>
      </c>
      <c r="D906" t="s">
        <v>41</v>
      </c>
      <c r="E906" t="s">
        <v>11</v>
      </c>
      <c r="F906" t="s">
        <v>83</v>
      </c>
      <c r="G906" t="s">
        <v>93</v>
      </c>
      <c r="H906">
        <v>5</v>
      </c>
      <c r="I906">
        <v>3396</v>
      </c>
      <c r="J906">
        <v>16980</v>
      </c>
    </row>
    <row r="907" spans="1:10" x14ac:dyDescent="0.3">
      <c r="A907">
        <v>1188</v>
      </c>
      <c r="B907" t="s">
        <v>643</v>
      </c>
      <c r="C907" t="str">
        <f>TEXT(Sales[[#This Row],[Order_Date]],"mmm")</f>
        <v>Jan</v>
      </c>
      <c r="D907" t="s">
        <v>496</v>
      </c>
      <c r="E907" t="s">
        <v>16</v>
      </c>
      <c r="F907" t="s">
        <v>17</v>
      </c>
      <c r="G907" t="s">
        <v>18</v>
      </c>
      <c r="H907">
        <v>5</v>
      </c>
      <c r="I907">
        <v>4501</v>
      </c>
      <c r="J907">
        <v>22505</v>
      </c>
    </row>
    <row r="908" spans="1:10" x14ac:dyDescent="0.3">
      <c r="A908">
        <v>1303</v>
      </c>
      <c r="B908" t="s">
        <v>469</v>
      </c>
      <c r="C908" t="str">
        <f>TEXT(Sales[[#This Row],[Order_Date]],"mmm")</f>
        <v>Dec</v>
      </c>
      <c r="D908" t="s">
        <v>206</v>
      </c>
      <c r="E908" t="s">
        <v>42</v>
      </c>
      <c r="F908" t="s">
        <v>83</v>
      </c>
      <c r="G908" t="s">
        <v>93</v>
      </c>
      <c r="H908">
        <v>5</v>
      </c>
      <c r="I908">
        <v>2151</v>
      </c>
      <c r="J908">
        <v>10755</v>
      </c>
    </row>
    <row r="909" spans="1:10" x14ac:dyDescent="0.3">
      <c r="A909">
        <v>1284</v>
      </c>
      <c r="B909" t="s">
        <v>604</v>
      </c>
      <c r="C909" t="str">
        <f>TEXT(Sales[[#This Row],[Order_Date]],"mmm")</f>
        <v>Mar</v>
      </c>
      <c r="D909" t="s">
        <v>548</v>
      </c>
      <c r="E909" t="s">
        <v>25</v>
      </c>
      <c r="F909" t="s">
        <v>83</v>
      </c>
      <c r="G909" t="s">
        <v>93</v>
      </c>
      <c r="H909">
        <v>1</v>
      </c>
      <c r="I909">
        <v>3046</v>
      </c>
      <c r="J909">
        <v>3046</v>
      </c>
    </row>
    <row r="910" spans="1:10" x14ac:dyDescent="0.3">
      <c r="A910">
        <v>1332</v>
      </c>
      <c r="B910" t="s">
        <v>410</v>
      </c>
      <c r="C910" t="str">
        <f>TEXT(Sales[[#This Row],[Order_Date]],"mmm")</f>
        <v>Feb</v>
      </c>
      <c r="D910" t="s">
        <v>202</v>
      </c>
      <c r="E910" t="s">
        <v>657</v>
      </c>
      <c r="F910" t="s">
        <v>89</v>
      </c>
      <c r="G910" t="s">
        <v>13</v>
      </c>
      <c r="H910">
        <v>3</v>
      </c>
      <c r="I910">
        <v>669</v>
      </c>
      <c r="J910">
        <v>2007</v>
      </c>
    </row>
    <row r="911" spans="1:10" x14ac:dyDescent="0.3">
      <c r="A911">
        <v>1364</v>
      </c>
      <c r="B911" t="s">
        <v>40</v>
      </c>
      <c r="C911" t="str">
        <f>TEXT(Sales[[#This Row],[Order_Date]],"mmm")</f>
        <v>Apr</v>
      </c>
      <c r="D911" t="s">
        <v>539</v>
      </c>
      <c r="E911" t="s">
        <v>42</v>
      </c>
      <c r="F911" t="s">
        <v>89</v>
      </c>
      <c r="G911" t="s">
        <v>13</v>
      </c>
      <c r="H911">
        <v>5</v>
      </c>
      <c r="I911">
        <v>4978</v>
      </c>
      <c r="J911">
        <v>24890</v>
      </c>
    </row>
    <row r="912" spans="1:10" x14ac:dyDescent="0.3">
      <c r="A912">
        <v>1391</v>
      </c>
      <c r="B912" t="s">
        <v>635</v>
      </c>
      <c r="C912" t="str">
        <f>TEXT(Sales[[#This Row],[Order_Date]],"mmm")</f>
        <v>Nov</v>
      </c>
      <c r="D912" t="s">
        <v>453</v>
      </c>
      <c r="E912" t="s">
        <v>25</v>
      </c>
      <c r="F912" t="s">
        <v>17</v>
      </c>
      <c r="G912" t="s">
        <v>53</v>
      </c>
      <c r="H912">
        <v>3</v>
      </c>
      <c r="I912">
        <v>1870</v>
      </c>
      <c r="J912">
        <v>5610</v>
      </c>
    </row>
    <row r="913" spans="1:10" x14ac:dyDescent="0.3">
      <c r="A913">
        <v>1404</v>
      </c>
      <c r="B913" t="s">
        <v>545</v>
      </c>
      <c r="C913" t="str">
        <f>TEXT(Sales[[#This Row],[Order_Date]],"mmm")</f>
        <v>Mar</v>
      </c>
      <c r="D913" t="s">
        <v>445</v>
      </c>
      <c r="E913" t="s">
        <v>11</v>
      </c>
      <c r="F913" t="s">
        <v>17</v>
      </c>
      <c r="G913" t="s">
        <v>53</v>
      </c>
      <c r="H913">
        <v>4</v>
      </c>
      <c r="I913">
        <v>967</v>
      </c>
      <c r="J913">
        <v>3868</v>
      </c>
    </row>
    <row r="914" spans="1:10" x14ac:dyDescent="0.3">
      <c r="A914">
        <v>1180</v>
      </c>
      <c r="B914" t="s">
        <v>517</v>
      </c>
      <c r="C914" t="str">
        <f>TEXT(Sales[[#This Row],[Order_Date]],"mmm")</f>
        <v>Apr</v>
      </c>
      <c r="D914" t="s">
        <v>460</v>
      </c>
      <c r="E914" t="s">
        <v>42</v>
      </c>
      <c r="F914" t="s">
        <v>136</v>
      </c>
      <c r="G914" t="s">
        <v>128</v>
      </c>
      <c r="H914">
        <v>3</v>
      </c>
      <c r="I914">
        <v>1534</v>
      </c>
      <c r="J914">
        <v>4602</v>
      </c>
    </row>
    <row r="915" spans="1:10" x14ac:dyDescent="0.3">
      <c r="A915">
        <v>1192</v>
      </c>
      <c r="B915" t="s">
        <v>98</v>
      </c>
      <c r="C915" t="str">
        <f>TEXT(Sales[[#This Row],[Order_Date]],"mmm")</f>
        <v>Feb</v>
      </c>
      <c r="D915" t="s">
        <v>514</v>
      </c>
      <c r="E915" t="s">
        <v>16</v>
      </c>
      <c r="F915" t="s">
        <v>83</v>
      </c>
      <c r="G915" t="s">
        <v>78</v>
      </c>
      <c r="H915">
        <v>4</v>
      </c>
      <c r="I915">
        <v>1021</v>
      </c>
      <c r="J915">
        <v>4084</v>
      </c>
    </row>
    <row r="916" spans="1:10" x14ac:dyDescent="0.3">
      <c r="A916">
        <v>1012</v>
      </c>
      <c r="B916" t="s">
        <v>307</v>
      </c>
      <c r="C916" t="str">
        <f>TEXT(Sales[[#This Row],[Order_Date]],"mmm")</f>
        <v>Nov</v>
      </c>
      <c r="D916" t="s">
        <v>449</v>
      </c>
      <c r="E916" t="s">
        <v>25</v>
      </c>
      <c r="F916" t="s">
        <v>136</v>
      </c>
      <c r="G916" t="s">
        <v>46</v>
      </c>
      <c r="H916">
        <v>1</v>
      </c>
      <c r="I916">
        <v>558</v>
      </c>
      <c r="J916">
        <v>558</v>
      </c>
    </row>
    <row r="917" spans="1:10" x14ac:dyDescent="0.3">
      <c r="A917">
        <v>1274</v>
      </c>
      <c r="B917" t="s">
        <v>219</v>
      </c>
      <c r="C917" t="str">
        <f>TEXT(Sales[[#This Row],[Order_Date]],"mmm")</f>
        <v>Mar</v>
      </c>
      <c r="D917" t="s">
        <v>507</v>
      </c>
      <c r="E917" t="s">
        <v>25</v>
      </c>
      <c r="F917" t="s">
        <v>83</v>
      </c>
      <c r="G917" t="s">
        <v>32</v>
      </c>
      <c r="H917">
        <v>1</v>
      </c>
      <c r="I917">
        <v>1857</v>
      </c>
      <c r="J917">
        <v>1857</v>
      </c>
    </row>
    <row r="918" spans="1:10" x14ac:dyDescent="0.3">
      <c r="A918">
        <v>1454</v>
      </c>
      <c r="B918" t="s">
        <v>590</v>
      </c>
      <c r="C918" t="str">
        <f>TEXT(Sales[[#This Row],[Order_Date]],"mmm")</f>
        <v>Mar</v>
      </c>
      <c r="D918" t="s">
        <v>118</v>
      </c>
      <c r="E918" t="s">
        <v>16</v>
      </c>
      <c r="F918" t="s">
        <v>89</v>
      </c>
      <c r="G918" t="s">
        <v>75</v>
      </c>
      <c r="H918">
        <v>1</v>
      </c>
      <c r="I918">
        <v>4652</v>
      </c>
      <c r="J918">
        <v>4652</v>
      </c>
    </row>
    <row r="919" spans="1:10" x14ac:dyDescent="0.3">
      <c r="A919">
        <v>1126</v>
      </c>
      <c r="B919" t="s">
        <v>298</v>
      </c>
      <c r="C919" t="str">
        <f>TEXT(Sales[[#This Row],[Order_Date]],"mmm")</f>
        <v>Jan</v>
      </c>
      <c r="D919" t="s">
        <v>197</v>
      </c>
      <c r="E919" t="s">
        <v>25</v>
      </c>
      <c r="F919" t="s">
        <v>83</v>
      </c>
      <c r="G919" t="s">
        <v>32</v>
      </c>
      <c r="H919">
        <v>5</v>
      </c>
      <c r="I919">
        <v>3602</v>
      </c>
      <c r="J919">
        <v>18010</v>
      </c>
    </row>
    <row r="920" spans="1:10" x14ac:dyDescent="0.3">
      <c r="A920">
        <v>1024</v>
      </c>
      <c r="B920" t="s">
        <v>644</v>
      </c>
      <c r="C920" t="str">
        <f>TEXT(Sales[[#This Row],[Order_Date]],"mmm")</f>
        <v>Apr</v>
      </c>
      <c r="D920" t="s">
        <v>48</v>
      </c>
      <c r="E920" t="s">
        <v>42</v>
      </c>
      <c r="F920" t="s">
        <v>136</v>
      </c>
      <c r="G920" t="s">
        <v>128</v>
      </c>
      <c r="H920">
        <v>2</v>
      </c>
      <c r="I920">
        <v>3351</v>
      </c>
      <c r="J920">
        <v>6702</v>
      </c>
    </row>
    <row r="921" spans="1:10" x14ac:dyDescent="0.3">
      <c r="A921">
        <v>1115</v>
      </c>
      <c r="B921" t="s">
        <v>629</v>
      </c>
      <c r="C921" t="str">
        <f>TEXT(Sales[[#This Row],[Order_Date]],"mmm")</f>
        <v>Sep</v>
      </c>
      <c r="D921" t="s">
        <v>385</v>
      </c>
      <c r="E921" t="s">
        <v>42</v>
      </c>
      <c r="F921" t="s">
        <v>83</v>
      </c>
      <c r="G921" t="s">
        <v>93</v>
      </c>
      <c r="H921">
        <v>3</v>
      </c>
      <c r="I921">
        <v>824</v>
      </c>
      <c r="J921">
        <v>2472</v>
      </c>
    </row>
    <row r="922" spans="1:10" x14ac:dyDescent="0.3">
      <c r="A922">
        <v>1086</v>
      </c>
      <c r="B922" t="s">
        <v>106</v>
      </c>
      <c r="C922" t="str">
        <f>TEXT(Sales[[#This Row],[Order_Date]],"mmm")</f>
        <v>Jan</v>
      </c>
      <c r="D922" t="s">
        <v>24</v>
      </c>
      <c r="E922" t="s">
        <v>25</v>
      </c>
      <c r="F922" t="s">
        <v>17</v>
      </c>
      <c r="G922" t="s">
        <v>114</v>
      </c>
      <c r="H922">
        <v>5</v>
      </c>
      <c r="I922">
        <v>1685</v>
      </c>
      <c r="J922">
        <v>8425</v>
      </c>
    </row>
    <row r="923" spans="1:10" x14ac:dyDescent="0.3">
      <c r="A923">
        <v>1308</v>
      </c>
      <c r="B923" t="s">
        <v>616</v>
      </c>
      <c r="C923" t="str">
        <f>TEXT(Sales[[#This Row],[Order_Date]],"mmm")</f>
        <v>Nov</v>
      </c>
      <c r="D923" t="s">
        <v>500</v>
      </c>
      <c r="E923" t="s">
        <v>42</v>
      </c>
      <c r="F923" t="s">
        <v>89</v>
      </c>
      <c r="G923" t="s">
        <v>95</v>
      </c>
      <c r="H923">
        <v>4</v>
      </c>
      <c r="I923">
        <v>3223</v>
      </c>
      <c r="J923">
        <v>12892</v>
      </c>
    </row>
    <row r="924" spans="1:10" x14ac:dyDescent="0.3">
      <c r="A924">
        <v>1078</v>
      </c>
      <c r="B924" t="s">
        <v>643</v>
      </c>
      <c r="C924" t="str">
        <f>TEXT(Sales[[#This Row],[Order_Date]],"mmm")</f>
        <v>Jan</v>
      </c>
      <c r="D924" t="s">
        <v>424</v>
      </c>
      <c r="E924" t="s">
        <v>11</v>
      </c>
      <c r="F924" t="s">
        <v>17</v>
      </c>
      <c r="G924" t="s">
        <v>114</v>
      </c>
      <c r="H924">
        <v>4</v>
      </c>
      <c r="I924">
        <v>3859</v>
      </c>
      <c r="J924">
        <v>15436</v>
      </c>
    </row>
    <row r="925" spans="1:10" x14ac:dyDescent="0.3">
      <c r="A925">
        <v>1489</v>
      </c>
      <c r="B925" t="s">
        <v>246</v>
      </c>
      <c r="C925" t="str">
        <f>TEXT(Sales[[#This Row],[Order_Date]],"mmm")</f>
        <v>Feb</v>
      </c>
      <c r="D925" t="s">
        <v>296</v>
      </c>
      <c r="E925" t="s">
        <v>25</v>
      </c>
      <c r="F925" t="s">
        <v>136</v>
      </c>
      <c r="G925" t="s">
        <v>22</v>
      </c>
      <c r="H925">
        <v>3</v>
      </c>
      <c r="I925">
        <v>1244</v>
      </c>
      <c r="J925">
        <v>3732</v>
      </c>
    </row>
    <row r="926" spans="1:10" x14ac:dyDescent="0.3">
      <c r="A926">
        <v>1326</v>
      </c>
      <c r="B926" t="s">
        <v>334</v>
      </c>
      <c r="C926" t="str">
        <f>TEXT(Sales[[#This Row],[Order_Date]],"mmm")</f>
        <v>Sep</v>
      </c>
      <c r="D926" t="s">
        <v>516</v>
      </c>
      <c r="E926" t="s">
        <v>11</v>
      </c>
      <c r="F926" t="s">
        <v>136</v>
      </c>
      <c r="G926" t="s">
        <v>46</v>
      </c>
      <c r="H926">
        <v>2</v>
      </c>
      <c r="I926">
        <v>3339</v>
      </c>
      <c r="J926">
        <v>6678</v>
      </c>
    </row>
    <row r="927" spans="1:10" x14ac:dyDescent="0.3">
      <c r="A927">
        <v>1546</v>
      </c>
      <c r="B927" t="s">
        <v>640</v>
      </c>
      <c r="C927" t="str">
        <f>TEXT(Sales[[#This Row],[Order_Date]],"mmm")</f>
        <v>Sep</v>
      </c>
      <c r="D927" t="s">
        <v>286</v>
      </c>
      <c r="E927" t="s">
        <v>11</v>
      </c>
      <c r="F927" t="s">
        <v>17</v>
      </c>
      <c r="G927" t="s">
        <v>53</v>
      </c>
      <c r="H927">
        <v>5</v>
      </c>
      <c r="I927">
        <v>4933</v>
      </c>
      <c r="J927">
        <v>24665</v>
      </c>
    </row>
    <row r="928" spans="1:10" x14ac:dyDescent="0.3">
      <c r="A928">
        <v>1224</v>
      </c>
      <c r="B928" t="s">
        <v>384</v>
      </c>
      <c r="C928" t="str">
        <f>TEXT(Sales[[#This Row],[Order_Date]],"mmm")</f>
        <v>Dec</v>
      </c>
      <c r="D928" t="s">
        <v>501</v>
      </c>
      <c r="E928" t="s">
        <v>16</v>
      </c>
      <c r="F928" t="s">
        <v>17</v>
      </c>
      <c r="G928" t="s">
        <v>101</v>
      </c>
      <c r="H928">
        <v>1</v>
      </c>
      <c r="I928">
        <v>3168</v>
      </c>
      <c r="J928">
        <v>3168</v>
      </c>
    </row>
    <row r="929" spans="1:10" x14ac:dyDescent="0.3">
      <c r="A929">
        <v>1112</v>
      </c>
      <c r="B929" t="s">
        <v>579</v>
      </c>
      <c r="C929" t="str">
        <f>TEXT(Sales[[#This Row],[Order_Date]],"mmm")</f>
        <v>Jan</v>
      </c>
      <c r="D929" t="s">
        <v>228</v>
      </c>
      <c r="E929" t="s">
        <v>42</v>
      </c>
      <c r="F929" t="s">
        <v>89</v>
      </c>
      <c r="G929" t="s">
        <v>95</v>
      </c>
      <c r="H929">
        <v>4</v>
      </c>
      <c r="I929">
        <v>1380</v>
      </c>
      <c r="J929">
        <v>5520</v>
      </c>
    </row>
    <row r="930" spans="1:10" x14ac:dyDescent="0.3">
      <c r="A930">
        <v>1431</v>
      </c>
      <c r="B930" t="s">
        <v>203</v>
      </c>
      <c r="C930" t="str">
        <f>TEXT(Sales[[#This Row],[Order_Date]],"mmm")</f>
        <v>May</v>
      </c>
      <c r="D930" t="s">
        <v>105</v>
      </c>
      <c r="E930" t="s">
        <v>25</v>
      </c>
      <c r="F930" t="s">
        <v>17</v>
      </c>
      <c r="G930" t="s">
        <v>72</v>
      </c>
      <c r="H930">
        <v>2</v>
      </c>
      <c r="I930">
        <v>3292</v>
      </c>
      <c r="J930">
        <v>6584</v>
      </c>
    </row>
    <row r="931" spans="1:10" x14ac:dyDescent="0.3">
      <c r="A931">
        <v>1434</v>
      </c>
      <c r="B931" t="s">
        <v>415</v>
      </c>
      <c r="C931" t="str">
        <f>TEXT(Sales[[#This Row],[Order_Date]],"mmm")</f>
        <v>Jul</v>
      </c>
      <c r="D931" t="s">
        <v>454</v>
      </c>
      <c r="E931" t="s">
        <v>16</v>
      </c>
      <c r="F931" t="s">
        <v>83</v>
      </c>
      <c r="G931" t="s">
        <v>57</v>
      </c>
      <c r="H931">
        <v>5</v>
      </c>
      <c r="I931">
        <v>1495</v>
      </c>
      <c r="J931">
        <v>7475</v>
      </c>
    </row>
    <row r="932" spans="1:10" x14ac:dyDescent="0.3">
      <c r="A932">
        <v>1080</v>
      </c>
      <c r="B932" t="s">
        <v>328</v>
      </c>
      <c r="C932" t="str">
        <f>TEXT(Sales[[#This Row],[Order_Date]],"mmm")</f>
        <v>May</v>
      </c>
      <c r="D932" t="s">
        <v>623</v>
      </c>
      <c r="E932" t="s">
        <v>11</v>
      </c>
      <c r="F932" t="s">
        <v>83</v>
      </c>
      <c r="G932" t="s">
        <v>57</v>
      </c>
      <c r="H932">
        <v>2</v>
      </c>
      <c r="I932">
        <v>4048</v>
      </c>
      <c r="J932">
        <v>8096</v>
      </c>
    </row>
    <row r="933" spans="1:10" x14ac:dyDescent="0.3">
      <c r="A933">
        <v>1306</v>
      </c>
      <c r="B933" t="s">
        <v>213</v>
      </c>
      <c r="C933" t="str">
        <f>TEXT(Sales[[#This Row],[Order_Date]],"mmm")</f>
        <v>Aug</v>
      </c>
      <c r="D933" t="s">
        <v>196</v>
      </c>
      <c r="E933" t="s">
        <v>42</v>
      </c>
      <c r="F933" t="s">
        <v>89</v>
      </c>
      <c r="G933" t="s">
        <v>75</v>
      </c>
      <c r="H933">
        <v>1</v>
      </c>
      <c r="I933">
        <v>1477</v>
      </c>
      <c r="J933">
        <v>1477</v>
      </c>
    </row>
    <row r="934" spans="1:10" x14ac:dyDescent="0.3">
      <c r="A934">
        <v>1177</v>
      </c>
      <c r="B934" t="s">
        <v>369</v>
      </c>
      <c r="C934" t="str">
        <f>TEXT(Sales[[#This Row],[Order_Date]],"mmm")</f>
        <v>Sep</v>
      </c>
      <c r="D934" t="s">
        <v>527</v>
      </c>
      <c r="E934" t="s">
        <v>16</v>
      </c>
      <c r="F934" t="s">
        <v>83</v>
      </c>
      <c r="G934" t="s">
        <v>78</v>
      </c>
      <c r="H934">
        <v>5</v>
      </c>
      <c r="I934">
        <v>2313</v>
      </c>
      <c r="J934">
        <v>11565</v>
      </c>
    </row>
    <row r="935" spans="1:10" x14ac:dyDescent="0.3">
      <c r="A935">
        <v>1232</v>
      </c>
      <c r="B935" t="s">
        <v>466</v>
      </c>
      <c r="C935" t="str">
        <f>TEXT(Sales[[#This Row],[Order_Date]],"mmm")</f>
        <v>Aug</v>
      </c>
      <c r="D935" t="s">
        <v>645</v>
      </c>
      <c r="E935" t="s">
        <v>11</v>
      </c>
      <c r="F935" t="s">
        <v>17</v>
      </c>
      <c r="G935" t="s">
        <v>101</v>
      </c>
      <c r="H935">
        <v>2</v>
      </c>
      <c r="I935">
        <v>1935</v>
      </c>
      <c r="J935">
        <v>3870</v>
      </c>
    </row>
    <row r="936" spans="1:10" x14ac:dyDescent="0.3">
      <c r="A936">
        <v>1401</v>
      </c>
      <c r="B936" t="s">
        <v>553</v>
      </c>
      <c r="C936" t="str">
        <f>TEXT(Sales[[#This Row],[Order_Date]],"mmm")</f>
        <v>Apr</v>
      </c>
      <c r="D936" t="s">
        <v>231</v>
      </c>
      <c r="E936" t="s">
        <v>25</v>
      </c>
      <c r="F936" t="s">
        <v>83</v>
      </c>
      <c r="G936" t="s">
        <v>78</v>
      </c>
      <c r="H936">
        <v>4</v>
      </c>
      <c r="I936">
        <v>3316</v>
      </c>
      <c r="J936">
        <v>13264</v>
      </c>
    </row>
    <row r="937" spans="1:10" x14ac:dyDescent="0.3">
      <c r="A937">
        <v>1434</v>
      </c>
      <c r="B937" t="s">
        <v>559</v>
      </c>
      <c r="C937" t="str">
        <f>TEXT(Sales[[#This Row],[Order_Date]],"mmm")</f>
        <v>Apr</v>
      </c>
      <c r="D937" t="s">
        <v>548</v>
      </c>
      <c r="E937" t="s">
        <v>25</v>
      </c>
      <c r="F937" t="s">
        <v>83</v>
      </c>
      <c r="G937" t="s">
        <v>32</v>
      </c>
      <c r="H937">
        <v>5</v>
      </c>
      <c r="I937">
        <v>2948</v>
      </c>
      <c r="J937">
        <v>14740</v>
      </c>
    </row>
    <row r="938" spans="1:10" x14ac:dyDescent="0.3">
      <c r="A938">
        <v>1554</v>
      </c>
      <c r="B938" t="s">
        <v>489</v>
      </c>
      <c r="C938" t="str">
        <f>TEXT(Sales[[#This Row],[Order_Date]],"mmm")</f>
        <v>Feb</v>
      </c>
      <c r="D938" t="s">
        <v>361</v>
      </c>
      <c r="E938" t="s">
        <v>42</v>
      </c>
      <c r="F938" t="s">
        <v>17</v>
      </c>
      <c r="G938" t="s">
        <v>18</v>
      </c>
      <c r="H938">
        <v>2</v>
      </c>
      <c r="I938">
        <v>4719</v>
      </c>
      <c r="J938">
        <v>9438</v>
      </c>
    </row>
    <row r="939" spans="1:10" x14ac:dyDescent="0.3">
      <c r="A939">
        <v>1246</v>
      </c>
      <c r="B939" t="s">
        <v>569</v>
      </c>
      <c r="C939" t="str">
        <f>TEXT(Sales[[#This Row],[Order_Date]],"mmm")</f>
        <v>May</v>
      </c>
      <c r="D939" t="s">
        <v>132</v>
      </c>
      <c r="E939" t="s">
        <v>42</v>
      </c>
      <c r="F939" t="s">
        <v>83</v>
      </c>
      <c r="G939" t="s">
        <v>57</v>
      </c>
      <c r="H939">
        <v>1</v>
      </c>
      <c r="I939">
        <v>2777</v>
      </c>
      <c r="J939">
        <v>2777</v>
      </c>
    </row>
    <row r="940" spans="1:10" x14ac:dyDescent="0.3">
      <c r="A940">
        <v>1365</v>
      </c>
      <c r="B940" t="s">
        <v>275</v>
      </c>
      <c r="C940" t="str">
        <f>TEXT(Sales[[#This Row],[Order_Date]],"mmm")</f>
        <v>May</v>
      </c>
      <c r="D940" t="s">
        <v>583</v>
      </c>
      <c r="E940" t="s">
        <v>25</v>
      </c>
      <c r="F940" t="s">
        <v>136</v>
      </c>
      <c r="G940" t="s">
        <v>67</v>
      </c>
      <c r="H940">
        <v>4</v>
      </c>
      <c r="I940">
        <v>3115</v>
      </c>
      <c r="J940">
        <v>12460</v>
      </c>
    </row>
    <row r="941" spans="1:10" x14ac:dyDescent="0.3">
      <c r="A941">
        <v>1099</v>
      </c>
      <c r="B941" t="s">
        <v>478</v>
      </c>
      <c r="C941" t="str">
        <f>TEXT(Sales[[#This Row],[Order_Date]],"mmm")</f>
        <v>Jun</v>
      </c>
      <c r="D941" t="s">
        <v>85</v>
      </c>
      <c r="E941" t="s">
        <v>42</v>
      </c>
      <c r="F941" t="s">
        <v>83</v>
      </c>
      <c r="G941" t="s">
        <v>57</v>
      </c>
      <c r="H941">
        <v>5</v>
      </c>
      <c r="I941">
        <v>3330</v>
      </c>
      <c r="J941">
        <v>16650</v>
      </c>
    </row>
    <row r="942" spans="1:10" x14ac:dyDescent="0.3">
      <c r="A942">
        <v>1038</v>
      </c>
      <c r="B942" t="s">
        <v>261</v>
      </c>
      <c r="C942" t="str">
        <f>TEXT(Sales[[#This Row],[Order_Date]],"mmm")</f>
        <v>May</v>
      </c>
      <c r="D942" t="s">
        <v>527</v>
      </c>
      <c r="E942" t="s">
        <v>25</v>
      </c>
      <c r="F942" t="s">
        <v>17</v>
      </c>
      <c r="G942" t="s">
        <v>53</v>
      </c>
      <c r="H942">
        <v>2</v>
      </c>
      <c r="I942">
        <v>1966</v>
      </c>
      <c r="J942">
        <v>3932</v>
      </c>
    </row>
    <row r="943" spans="1:10" x14ac:dyDescent="0.3">
      <c r="A943">
        <v>1164</v>
      </c>
      <c r="B943" t="s">
        <v>58</v>
      </c>
      <c r="C943" t="str">
        <f>TEXT(Sales[[#This Row],[Order_Date]],"mmm")</f>
        <v>Sep</v>
      </c>
      <c r="D943" t="s">
        <v>619</v>
      </c>
      <c r="E943" t="s">
        <v>25</v>
      </c>
      <c r="F943" t="s">
        <v>89</v>
      </c>
      <c r="G943" t="s">
        <v>75</v>
      </c>
      <c r="H943">
        <v>3</v>
      </c>
      <c r="I943">
        <v>3151</v>
      </c>
      <c r="J943">
        <v>9453</v>
      </c>
    </row>
    <row r="944" spans="1:10" x14ac:dyDescent="0.3">
      <c r="A944">
        <v>1040</v>
      </c>
      <c r="B944" t="s">
        <v>435</v>
      </c>
      <c r="C944" t="str">
        <f>TEXT(Sales[[#This Row],[Order_Date]],"mmm")</f>
        <v>Dec</v>
      </c>
      <c r="D944" t="s">
        <v>646</v>
      </c>
      <c r="E944" t="s">
        <v>25</v>
      </c>
      <c r="F944" t="s">
        <v>136</v>
      </c>
      <c r="G944" t="s">
        <v>128</v>
      </c>
      <c r="H944">
        <v>2</v>
      </c>
      <c r="I944">
        <v>4844</v>
      </c>
      <c r="J944">
        <v>9688</v>
      </c>
    </row>
    <row r="945" spans="1:10" x14ac:dyDescent="0.3">
      <c r="A945">
        <v>1015</v>
      </c>
      <c r="B945" t="s">
        <v>219</v>
      </c>
      <c r="C945" t="str">
        <f>TEXT(Sales[[#This Row],[Order_Date]],"mmm")</f>
        <v>Mar</v>
      </c>
      <c r="D945" t="s">
        <v>323</v>
      </c>
      <c r="E945" t="s">
        <v>16</v>
      </c>
      <c r="F945" t="s">
        <v>89</v>
      </c>
      <c r="G945" t="s">
        <v>133</v>
      </c>
      <c r="H945">
        <v>1</v>
      </c>
      <c r="I945">
        <v>3925</v>
      </c>
      <c r="J945">
        <v>3925</v>
      </c>
    </row>
    <row r="946" spans="1:10" x14ac:dyDescent="0.3">
      <c r="A946">
        <v>1165</v>
      </c>
      <c r="B946" t="s">
        <v>246</v>
      </c>
      <c r="C946" t="str">
        <f>TEXT(Sales[[#This Row],[Order_Date]],"mmm")</f>
        <v>Feb</v>
      </c>
      <c r="D946" t="s">
        <v>436</v>
      </c>
      <c r="E946" t="s">
        <v>25</v>
      </c>
      <c r="F946" t="s">
        <v>89</v>
      </c>
      <c r="G946" t="s">
        <v>95</v>
      </c>
      <c r="H946">
        <v>2</v>
      </c>
      <c r="I946">
        <v>3974</v>
      </c>
      <c r="J946">
        <v>7948</v>
      </c>
    </row>
    <row r="947" spans="1:10" x14ac:dyDescent="0.3">
      <c r="A947">
        <v>1262</v>
      </c>
      <c r="B947" t="s">
        <v>349</v>
      </c>
      <c r="C947" t="str">
        <f>TEXT(Sales[[#This Row],[Order_Date]],"mmm")</f>
        <v>Aug</v>
      </c>
      <c r="D947" t="s">
        <v>156</v>
      </c>
      <c r="E947" t="s">
        <v>42</v>
      </c>
      <c r="F947" t="s">
        <v>17</v>
      </c>
      <c r="G947" t="s">
        <v>72</v>
      </c>
      <c r="H947">
        <v>3</v>
      </c>
      <c r="I947">
        <v>2548</v>
      </c>
      <c r="J947">
        <v>7644</v>
      </c>
    </row>
    <row r="948" spans="1:10" x14ac:dyDescent="0.3">
      <c r="A948">
        <v>1132</v>
      </c>
      <c r="B948" t="s">
        <v>411</v>
      </c>
      <c r="C948" t="str">
        <f>TEXT(Sales[[#This Row],[Order_Date]],"mmm")</f>
        <v>Aug</v>
      </c>
      <c r="D948" t="s">
        <v>230</v>
      </c>
      <c r="E948" t="s">
        <v>11</v>
      </c>
      <c r="F948" t="s">
        <v>89</v>
      </c>
      <c r="G948" t="s">
        <v>95</v>
      </c>
      <c r="H948">
        <v>5</v>
      </c>
      <c r="I948">
        <v>3887</v>
      </c>
      <c r="J948">
        <v>19435</v>
      </c>
    </row>
    <row r="949" spans="1:10" x14ac:dyDescent="0.3">
      <c r="A949">
        <v>1043</v>
      </c>
      <c r="B949" t="s">
        <v>113</v>
      </c>
      <c r="C949" t="str">
        <f>TEXT(Sales[[#This Row],[Order_Date]],"mmm")</f>
        <v>Nov</v>
      </c>
      <c r="D949" t="s">
        <v>175</v>
      </c>
      <c r="E949" t="s">
        <v>11</v>
      </c>
      <c r="F949" t="s">
        <v>83</v>
      </c>
      <c r="G949" t="s">
        <v>93</v>
      </c>
      <c r="H949">
        <v>1</v>
      </c>
      <c r="I949">
        <v>2581</v>
      </c>
      <c r="J949">
        <v>2581</v>
      </c>
    </row>
    <row r="950" spans="1:10" x14ac:dyDescent="0.3">
      <c r="A950">
        <v>1074</v>
      </c>
      <c r="B950" t="s">
        <v>155</v>
      </c>
      <c r="C950" t="str">
        <f>TEXT(Sales[[#This Row],[Order_Date]],"mmm")</f>
        <v>Apr</v>
      </c>
      <c r="D950" t="s">
        <v>276</v>
      </c>
      <c r="E950" t="s">
        <v>16</v>
      </c>
      <c r="F950" t="s">
        <v>136</v>
      </c>
      <c r="G950" t="s">
        <v>124</v>
      </c>
      <c r="H950">
        <v>4</v>
      </c>
      <c r="I950">
        <v>4583</v>
      </c>
      <c r="J950">
        <v>18332</v>
      </c>
    </row>
    <row r="951" spans="1:10" x14ac:dyDescent="0.3">
      <c r="A951">
        <v>1087</v>
      </c>
      <c r="B951" t="s">
        <v>470</v>
      </c>
      <c r="C951" t="str">
        <f>TEXT(Sales[[#This Row],[Order_Date]],"mmm")</f>
        <v>Apr</v>
      </c>
      <c r="D951" t="s">
        <v>539</v>
      </c>
      <c r="E951" t="s">
        <v>16</v>
      </c>
      <c r="F951" t="s">
        <v>83</v>
      </c>
      <c r="G951" t="s">
        <v>78</v>
      </c>
      <c r="H951">
        <v>4</v>
      </c>
      <c r="I951">
        <v>2892</v>
      </c>
      <c r="J951">
        <v>11568</v>
      </c>
    </row>
    <row r="952" spans="1:10" x14ac:dyDescent="0.3">
      <c r="A952">
        <v>1497</v>
      </c>
      <c r="B952" t="s">
        <v>166</v>
      </c>
      <c r="C952" t="str">
        <f>TEXT(Sales[[#This Row],[Order_Date]],"mmm")</f>
        <v>Apr</v>
      </c>
      <c r="D952" t="s">
        <v>521</v>
      </c>
      <c r="E952" t="s">
        <v>16</v>
      </c>
      <c r="F952" t="s">
        <v>136</v>
      </c>
      <c r="G952" t="s">
        <v>124</v>
      </c>
      <c r="H952">
        <v>1</v>
      </c>
      <c r="I952">
        <v>4665</v>
      </c>
      <c r="J952">
        <v>4665</v>
      </c>
    </row>
    <row r="953" spans="1:10" x14ac:dyDescent="0.3">
      <c r="A953">
        <v>1218</v>
      </c>
      <c r="B953" t="s">
        <v>330</v>
      </c>
      <c r="C953" t="str">
        <f>TEXT(Sales[[#This Row],[Order_Date]],"mmm")</f>
        <v>Jun</v>
      </c>
      <c r="D953" t="s">
        <v>460</v>
      </c>
      <c r="E953" t="s">
        <v>42</v>
      </c>
      <c r="F953" t="s">
        <v>83</v>
      </c>
      <c r="G953" t="s">
        <v>57</v>
      </c>
      <c r="H953">
        <v>3</v>
      </c>
      <c r="I953">
        <v>3723</v>
      </c>
      <c r="J953">
        <v>11169</v>
      </c>
    </row>
    <row r="954" spans="1:10" x14ac:dyDescent="0.3">
      <c r="A954">
        <v>1216</v>
      </c>
      <c r="B954" t="s">
        <v>401</v>
      </c>
      <c r="C954" t="str">
        <f>TEXT(Sales[[#This Row],[Order_Date]],"mmm")</f>
        <v>Jan</v>
      </c>
      <c r="D954" t="s">
        <v>193</v>
      </c>
      <c r="E954" t="s">
        <v>11</v>
      </c>
      <c r="F954" t="s">
        <v>136</v>
      </c>
      <c r="G954" t="s">
        <v>22</v>
      </c>
      <c r="H954">
        <v>1</v>
      </c>
      <c r="I954">
        <v>1361</v>
      </c>
      <c r="J954">
        <v>1361</v>
      </c>
    </row>
    <row r="955" spans="1:10" x14ac:dyDescent="0.3">
      <c r="A955">
        <v>1305</v>
      </c>
      <c r="B955" t="s">
        <v>435</v>
      </c>
      <c r="C955" t="str">
        <f>TEXT(Sales[[#This Row],[Order_Date]],"mmm")</f>
        <v>Dec</v>
      </c>
      <c r="D955" t="s">
        <v>533</v>
      </c>
      <c r="E955" t="s">
        <v>42</v>
      </c>
      <c r="F955" t="s">
        <v>136</v>
      </c>
      <c r="G955" t="s">
        <v>67</v>
      </c>
      <c r="H955">
        <v>2</v>
      </c>
      <c r="I955">
        <v>640</v>
      </c>
      <c r="J955">
        <v>1280</v>
      </c>
    </row>
    <row r="956" spans="1:10" x14ac:dyDescent="0.3">
      <c r="A956">
        <v>1350</v>
      </c>
      <c r="B956" t="s">
        <v>346</v>
      </c>
      <c r="C956" t="str">
        <f>TEXT(Sales[[#This Row],[Order_Date]],"mmm")</f>
        <v>Jun</v>
      </c>
      <c r="D956" t="s">
        <v>218</v>
      </c>
      <c r="E956" t="s">
        <v>16</v>
      </c>
      <c r="F956" t="s">
        <v>17</v>
      </c>
      <c r="G956" t="s">
        <v>101</v>
      </c>
      <c r="H956">
        <v>4</v>
      </c>
      <c r="I956">
        <v>4586</v>
      </c>
      <c r="J956">
        <v>18344</v>
      </c>
    </row>
    <row r="957" spans="1:10" x14ac:dyDescent="0.3">
      <c r="A957">
        <v>1447</v>
      </c>
      <c r="B957" t="s">
        <v>383</v>
      </c>
      <c r="C957" t="str">
        <f>TEXT(Sales[[#This Row],[Order_Date]],"mmm")</f>
        <v>Jun</v>
      </c>
      <c r="D957" t="s">
        <v>228</v>
      </c>
      <c r="E957" t="s">
        <v>25</v>
      </c>
      <c r="F957" t="s">
        <v>136</v>
      </c>
      <c r="G957" t="s">
        <v>124</v>
      </c>
      <c r="H957">
        <v>5</v>
      </c>
      <c r="I957">
        <v>1384</v>
      </c>
      <c r="J957">
        <v>6920</v>
      </c>
    </row>
    <row r="958" spans="1:10" x14ac:dyDescent="0.3">
      <c r="A958">
        <v>1324</v>
      </c>
      <c r="B958" t="s">
        <v>471</v>
      </c>
      <c r="C958" t="str">
        <f>TEXT(Sales[[#This Row],[Order_Date]],"mmm")</f>
        <v>Jan</v>
      </c>
      <c r="D958" t="s">
        <v>339</v>
      </c>
      <c r="E958" t="s">
        <v>25</v>
      </c>
      <c r="F958" t="s">
        <v>136</v>
      </c>
      <c r="G958" t="s">
        <v>128</v>
      </c>
      <c r="H958">
        <v>1</v>
      </c>
      <c r="I958">
        <v>3529</v>
      </c>
      <c r="J958">
        <v>3529</v>
      </c>
    </row>
    <row r="959" spans="1:10" x14ac:dyDescent="0.3">
      <c r="A959">
        <v>1461</v>
      </c>
      <c r="B959" t="s">
        <v>176</v>
      </c>
      <c r="C959" t="str">
        <f>TEXT(Sales[[#This Row],[Order_Date]],"mmm")</f>
        <v>Mar</v>
      </c>
      <c r="D959" t="s">
        <v>38</v>
      </c>
      <c r="E959" t="s">
        <v>42</v>
      </c>
      <c r="F959" t="s">
        <v>136</v>
      </c>
      <c r="G959" t="s">
        <v>67</v>
      </c>
      <c r="H959">
        <v>2</v>
      </c>
      <c r="I959">
        <v>1737</v>
      </c>
      <c r="J959">
        <v>3474</v>
      </c>
    </row>
    <row r="960" spans="1:10" x14ac:dyDescent="0.3">
      <c r="A960">
        <v>1170</v>
      </c>
      <c r="B960" t="s">
        <v>513</v>
      </c>
      <c r="C960" t="str">
        <f>TEXT(Sales[[#This Row],[Order_Date]],"mmm")</f>
        <v>Nov</v>
      </c>
      <c r="D960" t="s">
        <v>208</v>
      </c>
      <c r="E960" t="s">
        <v>16</v>
      </c>
      <c r="F960" t="s">
        <v>17</v>
      </c>
      <c r="G960" t="s">
        <v>101</v>
      </c>
      <c r="H960">
        <v>5</v>
      </c>
      <c r="I960">
        <v>317</v>
      </c>
      <c r="J960">
        <v>1585</v>
      </c>
    </row>
    <row r="961" spans="1:10" x14ac:dyDescent="0.3">
      <c r="A961">
        <v>1309</v>
      </c>
      <c r="B961" t="s">
        <v>188</v>
      </c>
      <c r="C961" t="str">
        <f>TEXT(Sales[[#This Row],[Order_Date]],"mmm")</f>
        <v>Jun</v>
      </c>
      <c r="D961" t="s">
        <v>288</v>
      </c>
      <c r="E961" t="s">
        <v>11</v>
      </c>
      <c r="F961" t="s">
        <v>83</v>
      </c>
      <c r="G961" t="s">
        <v>78</v>
      </c>
      <c r="H961">
        <v>4</v>
      </c>
      <c r="I961">
        <v>3081</v>
      </c>
      <c r="J961">
        <v>12324</v>
      </c>
    </row>
    <row r="962" spans="1:10" x14ac:dyDescent="0.3">
      <c r="A962">
        <v>1535</v>
      </c>
      <c r="B962" t="s">
        <v>434</v>
      </c>
      <c r="C962" t="str">
        <f>TEXT(Sales[[#This Row],[Order_Date]],"mmm")</f>
        <v>Jun</v>
      </c>
      <c r="D962" t="s">
        <v>157</v>
      </c>
      <c r="E962" t="s">
        <v>25</v>
      </c>
      <c r="F962" t="s">
        <v>17</v>
      </c>
      <c r="G962" t="s">
        <v>53</v>
      </c>
      <c r="H962">
        <v>2</v>
      </c>
      <c r="I962">
        <v>4728</v>
      </c>
      <c r="J962">
        <v>9456</v>
      </c>
    </row>
    <row r="963" spans="1:10" x14ac:dyDescent="0.3">
      <c r="A963">
        <v>1390</v>
      </c>
      <c r="B963" t="s">
        <v>353</v>
      </c>
      <c r="C963" t="str">
        <f>TEXT(Sales[[#This Row],[Order_Date]],"mmm")</f>
        <v>May</v>
      </c>
      <c r="D963" t="s">
        <v>263</v>
      </c>
      <c r="E963" t="s">
        <v>25</v>
      </c>
      <c r="F963" t="s">
        <v>136</v>
      </c>
      <c r="G963" t="s">
        <v>22</v>
      </c>
      <c r="H963">
        <v>1</v>
      </c>
      <c r="I963">
        <v>934</v>
      </c>
      <c r="J963">
        <v>934</v>
      </c>
    </row>
    <row r="964" spans="1:10" x14ac:dyDescent="0.3">
      <c r="A964">
        <v>1421</v>
      </c>
      <c r="B964" t="s">
        <v>399</v>
      </c>
      <c r="C964" t="str">
        <f>TEXT(Sales[[#This Row],[Order_Date]],"mmm")</f>
        <v>Feb</v>
      </c>
      <c r="D964" t="s">
        <v>258</v>
      </c>
      <c r="E964" t="s">
        <v>42</v>
      </c>
      <c r="F964" t="s">
        <v>83</v>
      </c>
      <c r="G964" t="s">
        <v>78</v>
      </c>
      <c r="H964">
        <v>4</v>
      </c>
      <c r="I964">
        <v>1935</v>
      </c>
      <c r="J964">
        <v>7740</v>
      </c>
    </row>
    <row r="965" spans="1:10" x14ac:dyDescent="0.3">
      <c r="A965">
        <v>1390</v>
      </c>
      <c r="B965" t="s">
        <v>560</v>
      </c>
      <c r="C965" t="str">
        <f>TEXT(Sales[[#This Row],[Order_Date]],"mmm")</f>
        <v>Feb</v>
      </c>
      <c r="D965" t="s">
        <v>592</v>
      </c>
      <c r="E965" t="s">
        <v>16</v>
      </c>
      <c r="F965" t="s">
        <v>136</v>
      </c>
      <c r="G965" t="s">
        <v>657</v>
      </c>
      <c r="H965">
        <v>4</v>
      </c>
      <c r="I965">
        <v>3442</v>
      </c>
      <c r="J965">
        <v>13768</v>
      </c>
    </row>
    <row r="966" spans="1:10" x14ac:dyDescent="0.3">
      <c r="A966">
        <v>1229</v>
      </c>
      <c r="B966" t="s">
        <v>205</v>
      </c>
      <c r="C966" t="str">
        <f>TEXT(Sales[[#This Row],[Order_Date]],"mmm")</f>
        <v>Sep</v>
      </c>
      <c r="D966" t="s">
        <v>647</v>
      </c>
      <c r="E966" t="s">
        <v>11</v>
      </c>
      <c r="F966" t="s">
        <v>89</v>
      </c>
      <c r="G966" t="s">
        <v>95</v>
      </c>
      <c r="H966">
        <v>2</v>
      </c>
      <c r="I966">
        <v>234</v>
      </c>
      <c r="J966">
        <v>468</v>
      </c>
    </row>
    <row r="967" spans="1:10" x14ac:dyDescent="0.3">
      <c r="A967">
        <v>1015</v>
      </c>
      <c r="B967" t="s">
        <v>313</v>
      </c>
      <c r="C967" t="str">
        <f>TEXT(Sales[[#This Row],[Order_Date]],"mmm")</f>
        <v>Jan</v>
      </c>
      <c r="D967" t="s">
        <v>438</v>
      </c>
      <c r="E967" t="s">
        <v>25</v>
      </c>
      <c r="F967" t="s">
        <v>89</v>
      </c>
      <c r="G967" t="s">
        <v>133</v>
      </c>
      <c r="H967">
        <v>2</v>
      </c>
      <c r="I967">
        <v>4887</v>
      </c>
      <c r="J967">
        <v>9774</v>
      </c>
    </row>
    <row r="968" spans="1:10" x14ac:dyDescent="0.3">
      <c r="A968">
        <v>1400</v>
      </c>
      <c r="B968" t="s">
        <v>625</v>
      </c>
      <c r="C968" t="str">
        <f>TEXT(Sales[[#This Row],[Order_Date]],"mmm")</f>
        <v>Apr</v>
      </c>
      <c r="D968" t="s">
        <v>350</v>
      </c>
      <c r="E968" t="s">
        <v>11</v>
      </c>
      <c r="F968" t="s">
        <v>136</v>
      </c>
      <c r="G968" t="s">
        <v>124</v>
      </c>
      <c r="H968">
        <v>4</v>
      </c>
      <c r="I968">
        <v>1623</v>
      </c>
      <c r="J968">
        <v>6492</v>
      </c>
    </row>
    <row r="969" spans="1:10" x14ac:dyDescent="0.3">
      <c r="A969">
        <v>1162</v>
      </c>
      <c r="B969" t="s">
        <v>262</v>
      </c>
      <c r="C969" t="str">
        <f>TEXT(Sales[[#This Row],[Order_Date]],"mmm")</f>
        <v>Aug</v>
      </c>
      <c r="D969" t="s">
        <v>173</v>
      </c>
      <c r="E969" t="s">
        <v>11</v>
      </c>
      <c r="F969" t="s">
        <v>83</v>
      </c>
      <c r="G969" t="s">
        <v>93</v>
      </c>
      <c r="H969">
        <v>3</v>
      </c>
      <c r="I969">
        <v>4729</v>
      </c>
      <c r="J969">
        <v>14187</v>
      </c>
    </row>
    <row r="970" spans="1:10" x14ac:dyDescent="0.3">
      <c r="A970">
        <v>1095</v>
      </c>
      <c r="B970" t="s">
        <v>14</v>
      </c>
      <c r="C970" t="str">
        <f>TEXT(Sales[[#This Row],[Order_Date]],"mmm")</f>
        <v>Feb</v>
      </c>
      <c r="D970" t="s">
        <v>152</v>
      </c>
      <c r="E970" t="s">
        <v>42</v>
      </c>
      <c r="F970" t="s">
        <v>136</v>
      </c>
      <c r="G970" t="s">
        <v>124</v>
      </c>
      <c r="H970">
        <v>5</v>
      </c>
      <c r="I970">
        <v>4653</v>
      </c>
      <c r="J970">
        <v>23265</v>
      </c>
    </row>
    <row r="971" spans="1:10" x14ac:dyDescent="0.3">
      <c r="A971">
        <v>1391</v>
      </c>
      <c r="B971" t="s">
        <v>9</v>
      </c>
      <c r="C971" t="str">
        <f>TEXT(Sales[[#This Row],[Order_Date]],"mmm")</f>
        <v>Jan</v>
      </c>
      <c r="D971" t="s">
        <v>210</v>
      </c>
      <c r="E971" t="s">
        <v>11</v>
      </c>
      <c r="F971" t="s">
        <v>17</v>
      </c>
      <c r="G971" t="s">
        <v>53</v>
      </c>
      <c r="H971">
        <v>2</v>
      </c>
      <c r="I971">
        <v>2016</v>
      </c>
      <c r="J971">
        <v>4032</v>
      </c>
    </row>
    <row r="972" spans="1:10" x14ac:dyDescent="0.3">
      <c r="A972">
        <v>1251</v>
      </c>
      <c r="B972" t="s">
        <v>396</v>
      </c>
      <c r="C972" t="str">
        <f>TEXT(Sales[[#This Row],[Order_Date]],"mmm")</f>
        <v>Jul</v>
      </c>
      <c r="D972" t="s">
        <v>284</v>
      </c>
      <c r="E972" t="s">
        <v>25</v>
      </c>
      <c r="F972" t="s">
        <v>89</v>
      </c>
      <c r="G972" t="s">
        <v>27</v>
      </c>
      <c r="H972">
        <v>2</v>
      </c>
      <c r="I972">
        <v>389</v>
      </c>
      <c r="J972">
        <v>778</v>
      </c>
    </row>
    <row r="973" spans="1:10" x14ac:dyDescent="0.3">
      <c r="A973">
        <v>1105</v>
      </c>
      <c r="B973" t="s">
        <v>568</v>
      </c>
      <c r="C973" t="str">
        <f>TEXT(Sales[[#This Row],[Order_Date]],"mmm")</f>
        <v>Feb</v>
      </c>
      <c r="D973" t="s">
        <v>243</v>
      </c>
      <c r="E973" t="s">
        <v>42</v>
      </c>
      <c r="F973" t="s">
        <v>83</v>
      </c>
      <c r="G973" t="s">
        <v>32</v>
      </c>
      <c r="H973">
        <v>3</v>
      </c>
      <c r="I973">
        <v>1679</v>
      </c>
      <c r="J973">
        <v>5037</v>
      </c>
    </row>
    <row r="974" spans="1:10" x14ac:dyDescent="0.3">
      <c r="A974">
        <v>1370</v>
      </c>
      <c r="B974" t="s">
        <v>183</v>
      </c>
      <c r="C974" t="str">
        <f>TEXT(Sales[[#This Row],[Order_Date]],"mmm")</f>
        <v>Apr</v>
      </c>
      <c r="D974" t="s">
        <v>404</v>
      </c>
      <c r="E974" t="s">
        <v>11</v>
      </c>
      <c r="F974" t="s">
        <v>83</v>
      </c>
      <c r="G974" t="s">
        <v>78</v>
      </c>
      <c r="H974">
        <v>1</v>
      </c>
      <c r="I974">
        <v>4185</v>
      </c>
      <c r="J974">
        <v>4185</v>
      </c>
    </row>
    <row r="975" spans="1:10" x14ac:dyDescent="0.3">
      <c r="A975">
        <v>1429</v>
      </c>
      <c r="B975" t="s">
        <v>474</v>
      </c>
      <c r="C975" t="str">
        <f>TEXT(Sales[[#This Row],[Order_Date]],"mmm")</f>
        <v>Jul</v>
      </c>
      <c r="D975" t="s">
        <v>612</v>
      </c>
      <c r="E975" t="s">
        <v>11</v>
      </c>
      <c r="F975" t="s">
        <v>89</v>
      </c>
      <c r="G975" t="s">
        <v>75</v>
      </c>
      <c r="H975">
        <v>3</v>
      </c>
      <c r="I975">
        <v>283</v>
      </c>
      <c r="J975">
        <v>849</v>
      </c>
    </row>
    <row r="976" spans="1:10" x14ac:dyDescent="0.3">
      <c r="A976">
        <v>1032</v>
      </c>
      <c r="B976" t="s">
        <v>648</v>
      </c>
      <c r="C976" t="str">
        <f>TEXT(Sales[[#This Row],[Order_Date]],"mmm")</f>
        <v>Mar</v>
      </c>
      <c r="D976" t="s">
        <v>305</v>
      </c>
      <c r="E976" t="s">
        <v>42</v>
      </c>
      <c r="F976" t="s">
        <v>89</v>
      </c>
      <c r="G976" t="s">
        <v>95</v>
      </c>
      <c r="H976">
        <v>2</v>
      </c>
      <c r="I976">
        <v>4474</v>
      </c>
      <c r="J976">
        <v>8948</v>
      </c>
    </row>
    <row r="977" spans="1:10" x14ac:dyDescent="0.3">
      <c r="A977">
        <v>1197</v>
      </c>
      <c r="B977" t="s">
        <v>129</v>
      </c>
      <c r="C977" t="str">
        <f>TEXT(Sales[[#This Row],[Order_Date]],"mmm")</f>
        <v>Nov</v>
      </c>
      <c r="D977" t="s">
        <v>442</v>
      </c>
      <c r="E977" t="s">
        <v>16</v>
      </c>
      <c r="F977" t="s">
        <v>83</v>
      </c>
      <c r="G977" t="s">
        <v>57</v>
      </c>
      <c r="H977">
        <v>3</v>
      </c>
      <c r="I977">
        <v>1140</v>
      </c>
      <c r="J977">
        <v>3420</v>
      </c>
    </row>
    <row r="978" spans="1:10" x14ac:dyDescent="0.3">
      <c r="A978">
        <v>1141</v>
      </c>
      <c r="B978" t="s">
        <v>40</v>
      </c>
      <c r="C978" t="str">
        <f>TEXT(Sales[[#This Row],[Order_Date]],"mmm")</f>
        <v>Apr</v>
      </c>
      <c r="D978" t="s">
        <v>132</v>
      </c>
      <c r="E978" t="s">
        <v>16</v>
      </c>
      <c r="F978" t="s">
        <v>17</v>
      </c>
      <c r="G978" t="s">
        <v>101</v>
      </c>
      <c r="H978">
        <v>2</v>
      </c>
      <c r="I978">
        <v>953</v>
      </c>
      <c r="J978">
        <v>1906</v>
      </c>
    </row>
    <row r="979" spans="1:10" x14ac:dyDescent="0.3">
      <c r="A979">
        <v>1301</v>
      </c>
      <c r="B979" t="s">
        <v>320</v>
      </c>
      <c r="C979" t="str">
        <f>TEXT(Sales[[#This Row],[Order_Date]],"mmm")</f>
        <v>Aug</v>
      </c>
      <c r="D979" t="s">
        <v>210</v>
      </c>
      <c r="E979" t="s">
        <v>16</v>
      </c>
      <c r="F979" t="s">
        <v>136</v>
      </c>
      <c r="G979" t="s">
        <v>46</v>
      </c>
      <c r="H979">
        <v>3</v>
      </c>
      <c r="I979">
        <v>1616</v>
      </c>
      <c r="J979">
        <v>4848</v>
      </c>
    </row>
    <row r="980" spans="1:10" x14ac:dyDescent="0.3">
      <c r="A980">
        <v>1287</v>
      </c>
      <c r="B980" t="s">
        <v>394</v>
      </c>
      <c r="C980" t="str">
        <f>TEXT(Sales[[#This Row],[Order_Date]],"mmm")</f>
        <v>Jul</v>
      </c>
      <c r="D980" t="s">
        <v>267</v>
      </c>
      <c r="E980" t="s">
        <v>16</v>
      </c>
      <c r="F980" t="s">
        <v>89</v>
      </c>
      <c r="G980" t="s">
        <v>13</v>
      </c>
      <c r="H980">
        <v>4</v>
      </c>
      <c r="I980">
        <v>3854</v>
      </c>
      <c r="J980">
        <v>15416</v>
      </c>
    </row>
    <row r="981" spans="1:10" x14ac:dyDescent="0.3">
      <c r="A981">
        <v>1326</v>
      </c>
      <c r="B981" t="s">
        <v>596</v>
      </c>
      <c r="C981" t="str">
        <f>TEXT(Sales[[#This Row],[Order_Date]],"mmm")</f>
        <v>Nov</v>
      </c>
      <c r="D981" t="s">
        <v>121</v>
      </c>
      <c r="E981" t="s">
        <v>25</v>
      </c>
      <c r="F981" t="s">
        <v>136</v>
      </c>
      <c r="G981" t="s">
        <v>46</v>
      </c>
      <c r="H981">
        <v>3</v>
      </c>
      <c r="I981">
        <v>726</v>
      </c>
      <c r="J981">
        <v>2178</v>
      </c>
    </row>
    <row r="982" spans="1:10" x14ac:dyDescent="0.3">
      <c r="A982">
        <v>1523</v>
      </c>
      <c r="B982" t="s">
        <v>277</v>
      </c>
      <c r="C982" t="str">
        <f>TEXT(Sales[[#This Row],[Order_Date]],"mmm")</f>
        <v>May</v>
      </c>
      <c r="D982" t="s">
        <v>71</v>
      </c>
      <c r="E982" t="s">
        <v>11</v>
      </c>
      <c r="F982" t="s">
        <v>136</v>
      </c>
      <c r="G982" t="s">
        <v>22</v>
      </c>
      <c r="H982">
        <v>1</v>
      </c>
      <c r="I982">
        <v>1139</v>
      </c>
      <c r="J982">
        <v>1139</v>
      </c>
    </row>
    <row r="983" spans="1:10" x14ac:dyDescent="0.3">
      <c r="A983">
        <v>1190</v>
      </c>
      <c r="B983" t="s">
        <v>541</v>
      </c>
      <c r="C983" t="str">
        <f>TEXT(Sales[[#This Row],[Order_Date]],"mmm")</f>
        <v>Jul</v>
      </c>
      <c r="D983" t="s">
        <v>135</v>
      </c>
      <c r="E983" t="s">
        <v>25</v>
      </c>
      <c r="F983" t="s">
        <v>83</v>
      </c>
      <c r="G983" t="s">
        <v>93</v>
      </c>
      <c r="H983">
        <v>2</v>
      </c>
      <c r="I983">
        <v>2775</v>
      </c>
      <c r="J983">
        <v>5550</v>
      </c>
    </row>
    <row r="984" spans="1:10" x14ac:dyDescent="0.3">
      <c r="A984">
        <v>1011</v>
      </c>
      <c r="B984" t="s">
        <v>195</v>
      </c>
      <c r="C984" t="str">
        <f>TEXT(Sales[[#This Row],[Order_Date]],"mmm")</f>
        <v>Jun</v>
      </c>
      <c r="D984" t="s">
        <v>44</v>
      </c>
      <c r="E984" t="s">
        <v>16</v>
      </c>
      <c r="F984" t="s">
        <v>136</v>
      </c>
      <c r="G984" t="s">
        <v>67</v>
      </c>
      <c r="H984">
        <v>5</v>
      </c>
      <c r="I984">
        <v>742</v>
      </c>
      <c r="J984">
        <v>3710</v>
      </c>
    </row>
    <row r="985" spans="1:10" x14ac:dyDescent="0.3">
      <c r="A985">
        <v>1539</v>
      </c>
      <c r="B985" t="s">
        <v>233</v>
      </c>
      <c r="C985" t="str">
        <f>TEXT(Sales[[#This Row],[Order_Date]],"mmm")</f>
        <v>Apr</v>
      </c>
      <c r="D985" t="s">
        <v>267</v>
      </c>
      <c r="E985" t="s">
        <v>11</v>
      </c>
      <c r="F985" t="s">
        <v>89</v>
      </c>
      <c r="G985" t="s">
        <v>133</v>
      </c>
      <c r="H985">
        <v>4</v>
      </c>
      <c r="I985">
        <v>2803</v>
      </c>
      <c r="J985">
        <v>11212</v>
      </c>
    </row>
    <row r="986" spans="1:10" x14ac:dyDescent="0.3">
      <c r="A986">
        <v>1050</v>
      </c>
      <c r="B986" t="s">
        <v>640</v>
      </c>
      <c r="C986" t="str">
        <f>TEXT(Sales[[#This Row],[Order_Date]],"mmm")</f>
        <v>Sep</v>
      </c>
      <c r="D986" t="s">
        <v>258</v>
      </c>
      <c r="E986" t="s">
        <v>25</v>
      </c>
      <c r="F986" t="s">
        <v>83</v>
      </c>
      <c r="G986" t="s">
        <v>112</v>
      </c>
      <c r="H986">
        <v>1</v>
      </c>
      <c r="I986">
        <v>3909</v>
      </c>
      <c r="J986">
        <v>3909</v>
      </c>
    </row>
    <row r="987" spans="1:10" x14ac:dyDescent="0.3">
      <c r="A987">
        <v>1392</v>
      </c>
      <c r="B987" t="s">
        <v>451</v>
      </c>
      <c r="C987" t="str">
        <f>TEXT(Sales[[#This Row],[Order_Date]],"mmm")</f>
        <v>May</v>
      </c>
      <c r="D987" t="s">
        <v>526</v>
      </c>
      <c r="E987" t="s">
        <v>42</v>
      </c>
      <c r="F987" t="s">
        <v>83</v>
      </c>
      <c r="G987" t="s">
        <v>112</v>
      </c>
      <c r="H987">
        <v>4</v>
      </c>
      <c r="I987">
        <v>2529</v>
      </c>
      <c r="J987">
        <v>10116</v>
      </c>
    </row>
    <row r="988" spans="1:10" x14ac:dyDescent="0.3">
      <c r="A988">
        <v>1037</v>
      </c>
      <c r="B988" t="s">
        <v>376</v>
      </c>
      <c r="C988" t="str">
        <f>TEXT(Sales[[#This Row],[Order_Date]],"mmm")</f>
        <v>Sep</v>
      </c>
      <c r="D988" t="s">
        <v>61</v>
      </c>
      <c r="E988" t="s">
        <v>25</v>
      </c>
      <c r="F988" t="s">
        <v>83</v>
      </c>
      <c r="G988" t="s">
        <v>112</v>
      </c>
      <c r="H988">
        <v>4</v>
      </c>
      <c r="I988">
        <v>979</v>
      </c>
      <c r="J988">
        <v>3916</v>
      </c>
    </row>
    <row r="989" spans="1:10" x14ac:dyDescent="0.3">
      <c r="A989">
        <v>1308</v>
      </c>
      <c r="B989" t="s">
        <v>270</v>
      </c>
      <c r="C989" t="str">
        <f>TEXT(Sales[[#This Row],[Order_Date]],"mmm")</f>
        <v>May</v>
      </c>
      <c r="D989" t="s">
        <v>372</v>
      </c>
      <c r="E989" t="s">
        <v>25</v>
      </c>
      <c r="F989" t="s">
        <v>89</v>
      </c>
      <c r="G989" t="s">
        <v>75</v>
      </c>
      <c r="H989">
        <v>4</v>
      </c>
      <c r="I989">
        <v>585</v>
      </c>
      <c r="J989">
        <v>2340</v>
      </c>
    </row>
    <row r="990" spans="1:10" x14ac:dyDescent="0.3">
      <c r="A990">
        <v>1465</v>
      </c>
      <c r="B990" t="s">
        <v>640</v>
      </c>
      <c r="C990" t="str">
        <f>TEXT(Sales[[#This Row],[Order_Date]],"mmm")</f>
        <v>Sep</v>
      </c>
      <c r="D990" t="s">
        <v>126</v>
      </c>
      <c r="E990" t="s">
        <v>42</v>
      </c>
      <c r="F990" t="s">
        <v>83</v>
      </c>
      <c r="G990" t="s">
        <v>112</v>
      </c>
      <c r="H990">
        <v>2</v>
      </c>
      <c r="I990">
        <v>591</v>
      </c>
      <c r="J990">
        <v>1182</v>
      </c>
    </row>
    <row r="991" spans="1:10" x14ac:dyDescent="0.3">
      <c r="A991">
        <v>1330</v>
      </c>
      <c r="B991" t="s">
        <v>554</v>
      </c>
      <c r="C991" t="str">
        <f>TEXT(Sales[[#This Row],[Order_Date]],"mmm")</f>
        <v>Dec</v>
      </c>
      <c r="D991" t="s">
        <v>278</v>
      </c>
      <c r="E991" t="s">
        <v>25</v>
      </c>
      <c r="F991" t="s">
        <v>136</v>
      </c>
      <c r="G991" t="s">
        <v>128</v>
      </c>
      <c r="H991">
        <v>2</v>
      </c>
      <c r="I991">
        <v>3221</v>
      </c>
      <c r="J991">
        <v>6442</v>
      </c>
    </row>
    <row r="992" spans="1:10" x14ac:dyDescent="0.3">
      <c r="A992">
        <v>1005</v>
      </c>
      <c r="B992" t="s">
        <v>554</v>
      </c>
      <c r="C992" t="str">
        <f>TEXT(Sales[[#This Row],[Order_Date]],"mmm")</f>
        <v>Dec</v>
      </c>
      <c r="D992" t="s">
        <v>538</v>
      </c>
      <c r="E992" t="s">
        <v>25</v>
      </c>
      <c r="F992" t="s">
        <v>83</v>
      </c>
      <c r="G992" t="s">
        <v>112</v>
      </c>
      <c r="H992">
        <v>1</v>
      </c>
      <c r="I992">
        <v>2692</v>
      </c>
      <c r="J992">
        <v>2692</v>
      </c>
    </row>
    <row r="993" spans="1:10" x14ac:dyDescent="0.3">
      <c r="A993">
        <v>1388</v>
      </c>
      <c r="B993" t="s">
        <v>476</v>
      </c>
      <c r="C993" t="str">
        <f>TEXT(Sales[[#This Row],[Order_Date]],"mmm")</f>
        <v>May</v>
      </c>
      <c r="D993" t="s">
        <v>20</v>
      </c>
      <c r="E993" t="s">
        <v>25</v>
      </c>
      <c r="F993" t="s">
        <v>17</v>
      </c>
      <c r="G993" t="s">
        <v>114</v>
      </c>
      <c r="H993">
        <v>2</v>
      </c>
      <c r="I993">
        <v>2815</v>
      </c>
      <c r="J993">
        <v>5630</v>
      </c>
    </row>
    <row r="994" spans="1:10" x14ac:dyDescent="0.3">
      <c r="A994">
        <v>1423</v>
      </c>
      <c r="B994" t="s">
        <v>455</v>
      </c>
      <c r="C994" t="str">
        <f>TEXT(Sales[[#This Row],[Order_Date]],"mmm")</f>
        <v>Nov</v>
      </c>
      <c r="D994" t="s">
        <v>445</v>
      </c>
      <c r="E994" t="s">
        <v>16</v>
      </c>
      <c r="F994" t="s">
        <v>83</v>
      </c>
      <c r="G994" t="s">
        <v>57</v>
      </c>
      <c r="H994">
        <v>4</v>
      </c>
      <c r="I994">
        <v>2498</v>
      </c>
      <c r="J994">
        <v>9992</v>
      </c>
    </row>
    <row r="995" spans="1:10" x14ac:dyDescent="0.3">
      <c r="A995">
        <v>1231</v>
      </c>
      <c r="B995" t="s">
        <v>14</v>
      </c>
      <c r="C995" t="str">
        <f>TEXT(Sales[[#This Row],[Order_Date]],"mmm")</f>
        <v>Feb</v>
      </c>
      <c r="D995" t="s">
        <v>518</v>
      </c>
      <c r="E995" t="s">
        <v>16</v>
      </c>
      <c r="F995" t="s">
        <v>89</v>
      </c>
      <c r="G995" t="s">
        <v>27</v>
      </c>
      <c r="H995">
        <v>2</v>
      </c>
      <c r="I995">
        <v>839</v>
      </c>
      <c r="J995">
        <v>1678</v>
      </c>
    </row>
    <row r="996" spans="1:10" x14ac:dyDescent="0.3">
      <c r="A996">
        <v>1217</v>
      </c>
      <c r="B996" t="s">
        <v>632</v>
      </c>
      <c r="C996" t="str">
        <f>TEXT(Sales[[#This Row],[Order_Date]],"mmm")</f>
        <v>Jan</v>
      </c>
      <c r="D996" t="s">
        <v>356</v>
      </c>
      <c r="E996" t="s">
        <v>16</v>
      </c>
      <c r="F996" t="s">
        <v>17</v>
      </c>
      <c r="G996" t="s">
        <v>53</v>
      </c>
      <c r="H996">
        <v>4</v>
      </c>
      <c r="I996">
        <v>1056</v>
      </c>
      <c r="J996">
        <v>4224</v>
      </c>
    </row>
    <row r="997" spans="1:10" x14ac:dyDescent="0.3">
      <c r="A997">
        <v>1540</v>
      </c>
      <c r="B997" t="s">
        <v>73</v>
      </c>
      <c r="C997" t="str">
        <f>TEXT(Sales[[#This Row],[Order_Date]],"mmm")</f>
        <v>Sep</v>
      </c>
      <c r="D997" t="s">
        <v>238</v>
      </c>
      <c r="E997" t="s">
        <v>11</v>
      </c>
      <c r="F997" t="s">
        <v>89</v>
      </c>
      <c r="G997" t="s">
        <v>95</v>
      </c>
      <c r="H997">
        <v>5</v>
      </c>
      <c r="I997">
        <v>1065</v>
      </c>
      <c r="J997">
        <v>5325</v>
      </c>
    </row>
    <row r="998" spans="1:10" x14ac:dyDescent="0.3">
      <c r="A998">
        <v>1372</v>
      </c>
      <c r="B998" t="s">
        <v>392</v>
      </c>
      <c r="C998" t="str">
        <f>TEXT(Sales[[#This Row],[Order_Date]],"mmm")</f>
        <v>Jul</v>
      </c>
      <c r="D998" t="s">
        <v>305</v>
      </c>
      <c r="E998" t="s">
        <v>11</v>
      </c>
      <c r="F998" t="s">
        <v>136</v>
      </c>
      <c r="G998" t="s">
        <v>67</v>
      </c>
      <c r="H998">
        <v>2</v>
      </c>
      <c r="I998">
        <v>762</v>
      </c>
      <c r="J998">
        <v>1524</v>
      </c>
    </row>
    <row r="999" spans="1:10" x14ac:dyDescent="0.3">
      <c r="A999">
        <v>1314</v>
      </c>
      <c r="B999" t="s">
        <v>28</v>
      </c>
      <c r="C999" t="str">
        <f>TEXT(Sales[[#This Row],[Order_Date]],"mmm")</f>
        <v>Oct</v>
      </c>
      <c r="D999" t="s">
        <v>273</v>
      </c>
      <c r="E999" t="s">
        <v>25</v>
      </c>
      <c r="F999" t="s">
        <v>83</v>
      </c>
      <c r="G999" t="s">
        <v>657</v>
      </c>
      <c r="H999">
        <v>1</v>
      </c>
      <c r="I999">
        <v>2170</v>
      </c>
      <c r="J999">
        <v>2170</v>
      </c>
    </row>
    <row r="1000" spans="1:10" x14ac:dyDescent="0.3">
      <c r="A1000">
        <v>1273</v>
      </c>
      <c r="B1000" t="s">
        <v>601</v>
      </c>
      <c r="C1000" t="str">
        <f>TEXT(Sales[[#This Row],[Order_Date]],"mmm")</f>
        <v>Jan</v>
      </c>
      <c r="D1000" t="s">
        <v>342</v>
      </c>
      <c r="E1000" t="s">
        <v>25</v>
      </c>
      <c r="F1000" t="s">
        <v>136</v>
      </c>
      <c r="G1000" t="s">
        <v>22</v>
      </c>
      <c r="H1000">
        <v>5</v>
      </c>
      <c r="I1000">
        <v>888</v>
      </c>
      <c r="J1000">
        <v>4440</v>
      </c>
    </row>
    <row r="1001" spans="1:10" x14ac:dyDescent="0.3">
      <c r="A1001">
        <v>1406</v>
      </c>
      <c r="B1001" t="s">
        <v>369</v>
      </c>
      <c r="C1001" t="str">
        <f>TEXT(Sales[[#This Row],[Order_Date]],"mmm")</f>
        <v>Sep</v>
      </c>
      <c r="D1001" t="s">
        <v>444</v>
      </c>
      <c r="E1001" t="s">
        <v>42</v>
      </c>
      <c r="F1001" t="s">
        <v>89</v>
      </c>
      <c r="G1001" t="s">
        <v>27</v>
      </c>
      <c r="H1001">
        <v>3</v>
      </c>
      <c r="I1001">
        <v>1001</v>
      </c>
      <c r="J1001">
        <v>3003</v>
      </c>
    </row>
    <row r="1002" spans="1:10" x14ac:dyDescent="0.3">
      <c r="A1002">
        <v>1432</v>
      </c>
      <c r="B1002" t="s">
        <v>559</v>
      </c>
      <c r="C1002" t="str">
        <f>TEXT(Sales[[#This Row],[Order_Date]],"mmm")</f>
        <v>Apr</v>
      </c>
      <c r="D1002" t="s">
        <v>282</v>
      </c>
      <c r="E1002" t="s">
        <v>42</v>
      </c>
      <c r="F1002" t="s">
        <v>17</v>
      </c>
      <c r="G1002" t="s">
        <v>53</v>
      </c>
      <c r="H1002">
        <v>5</v>
      </c>
      <c r="I1002">
        <v>4243</v>
      </c>
      <c r="J1002">
        <v>21215</v>
      </c>
    </row>
    <row r="1003" spans="1:10" x14ac:dyDescent="0.3">
      <c r="A1003">
        <v>1051</v>
      </c>
      <c r="B1003" t="s">
        <v>398</v>
      </c>
      <c r="C1003" t="str">
        <f>TEXT(Sales[[#This Row],[Order_Date]],"mmm")</f>
        <v>Nov</v>
      </c>
      <c r="D1003" t="s">
        <v>82</v>
      </c>
      <c r="E1003" t="s">
        <v>42</v>
      </c>
      <c r="F1003" t="s">
        <v>83</v>
      </c>
      <c r="G1003" t="s">
        <v>93</v>
      </c>
      <c r="H1003">
        <v>1</v>
      </c>
      <c r="I1003">
        <v>4912</v>
      </c>
      <c r="J1003">
        <v>4912</v>
      </c>
    </row>
    <row r="1004" spans="1:10" x14ac:dyDescent="0.3">
      <c r="A1004">
        <v>1103</v>
      </c>
      <c r="B1004" t="s">
        <v>237</v>
      </c>
      <c r="C1004" t="str">
        <f>TEXT(Sales[[#This Row],[Order_Date]],"mmm")</f>
        <v>May</v>
      </c>
      <c r="D1004" t="s">
        <v>326</v>
      </c>
      <c r="E1004" t="s">
        <v>25</v>
      </c>
      <c r="F1004" t="s">
        <v>136</v>
      </c>
      <c r="G1004" t="s">
        <v>46</v>
      </c>
      <c r="H1004">
        <v>2</v>
      </c>
      <c r="I1004">
        <v>2397</v>
      </c>
      <c r="J1004">
        <v>4794</v>
      </c>
    </row>
    <row r="1005" spans="1:10" x14ac:dyDescent="0.3">
      <c r="A1005">
        <v>1208</v>
      </c>
      <c r="B1005" t="s">
        <v>642</v>
      </c>
      <c r="C1005" t="str">
        <f>TEXT(Sales[[#This Row],[Order_Date]],"mmm")</f>
        <v>Jun</v>
      </c>
      <c r="D1005" t="s">
        <v>309</v>
      </c>
      <c r="E1005" t="s">
        <v>42</v>
      </c>
      <c r="F1005" t="s">
        <v>89</v>
      </c>
      <c r="G1005" t="s">
        <v>133</v>
      </c>
      <c r="H1005">
        <v>1</v>
      </c>
      <c r="I1005">
        <v>1716</v>
      </c>
      <c r="J1005">
        <v>1716</v>
      </c>
    </row>
    <row r="1006" spans="1:10" x14ac:dyDescent="0.3">
      <c r="A1006">
        <v>1488</v>
      </c>
      <c r="B1006" t="s">
        <v>170</v>
      </c>
      <c r="C1006" t="str">
        <f>TEXT(Sales[[#This Row],[Order_Date]],"mmm")</f>
        <v>Jun</v>
      </c>
      <c r="D1006" t="s">
        <v>150</v>
      </c>
      <c r="E1006" t="s">
        <v>25</v>
      </c>
      <c r="F1006" t="s">
        <v>17</v>
      </c>
      <c r="G1006" t="s">
        <v>114</v>
      </c>
      <c r="H1006">
        <v>2</v>
      </c>
      <c r="I1006">
        <v>1734</v>
      </c>
      <c r="J1006">
        <v>3468</v>
      </c>
    </row>
    <row r="1007" spans="1:10" x14ac:dyDescent="0.3">
      <c r="A1007">
        <v>1013</v>
      </c>
      <c r="B1007" t="s">
        <v>628</v>
      </c>
      <c r="C1007" t="str">
        <f>TEXT(Sales[[#This Row],[Order_Date]],"mmm")</f>
        <v>Dec</v>
      </c>
      <c r="D1007" t="s">
        <v>342</v>
      </c>
      <c r="E1007" t="s">
        <v>11</v>
      </c>
      <c r="F1007" t="s">
        <v>136</v>
      </c>
      <c r="G1007" t="s">
        <v>22</v>
      </c>
      <c r="H1007">
        <v>3</v>
      </c>
      <c r="I1007">
        <v>830</v>
      </c>
      <c r="J1007">
        <v>2490</v>
      </c>
    </row>
    <row r="1008" spans="1:10" x14ac:dyDescent="0.3">
      <c r="A1008">
        <v>1009</v>
      </c>
      <c r="B1008" t="s">
        <v>555</v>
      </c>
      <c r="C1008" t="str">
        <f>TEXT(Sales[[#This Row],[Order_Date]],"mmm")</f>
        <v>Oct</v>
      </c>
      <c r="D1008" t="s">
        <v>167</v>
      </c>
      <c r="E1008" t="s">
        <v>16</v>
      </c>
      <c r="F1008" t="s">
        <v>136</v>
      </c>
      <c r="G1008" t="s">
        <v>67</v>
      </c>
      <c r="H1008">
        <v>2</v>
      </c>
      <c r="I1008">
        <v>4071</v>
      </c>
      <c r="J1008">
        <v>8142</v>
      </c>
    </row>
    <row r="1009" spans="1:10" x14ac:dyDescent="0.3">
      <c r="A1009">
        <v>1580</v>
      </c>
      <c r="B1009" t="s">
        <v>54</v>
      </c>
      <c r="C1009" t="str">
        <f>TEXT(Sales[[#This Row],[Order_Date]],"mmm")</f>
        <v>Dec</v>
      </c>
      <c r="D1009" t="s">
        <v>370</v>
      </c>
      <c r="E1009" t="s">
        <v>11</v>
      </c>
      <c r="F1009" t="s">
        <v>17</v>
      </c>
      <c r="G1009" t="s">
        <v>18</v>
      </c>
      <c r="H1009">
        <v>1</v>
      </c>
      <c r="I1009">
        <v>1019</v>
      </c>
      <c r="J1009">
        <v>1019</v>
      </c>
    </row>
    <row r="1010" spans="1:10" x14ac:dyDescent="0.3">
      <c r="A1010">
        <v>1463</v>
      </c>
      <c r="B1010" t="s">
        <v>629</v>
      </c>
      <c r="C1010" t="str">
        <f>TEXT(Sales[[#This Row],[Order_Date]],"mmm")</f>
        <v>Sep</v>
      </c>
      <c r="D1010" t="s">
        <v>314</v>
      </c>
      <c r="E1010" t="s">
        <v>16</v>
      </c>
      <c r="F1010" t="s">
        <v>89</v>
      </c>
      <c r="G1010" t="s">
        <v>133</v>
      </c>
      <c r="H1010">
        <v>3</v>
      </c>
      <c r="I1010">
        <v>3184</v>
      </c>
      <c r="J1010">
        <v>9552</v>
      </c>
    </row>
    <row r="1011" spans="1:10" x14ac:dyDescent="0.3">
      <c r="A1011">
        <v>1308</v>
      </c>
      <c r="B1011" t="s">
        <v>325</v>
      </c>
      <c r="C1011" t="str">
        <f>TEXT(Sales[[#This Row],[Order_Date]],"mmm")</f>
        <v>Dec</v>
      </c>
      <c r="D1011" t="s">
        <v>265</v>
      </c>
      <c r="E1011" t="s">
        <v>42</v>
      </c>
      <c r="F1011" t="s">
        <v>136</v>
      </c>
      <c r="G1011" t="s">
        <v>124</v>
      </c>
      <c r="H1011">
        <v>2</v>
      </c>
      <c r="I1011">
        <v>3561</v>
      </c>
      <c r="J1011">
        <v>7122</v>
      </c>
    </row>
    <row r="1012" spans="1:10" x14ac:dyDescent="0.3">
      <c r="A1012">
        <v>1145</v>
      </c>
      <c r="B1012" t="s">
        <v>503</v>
      </c>
      <c r="C1012" t="str">
        <f>TEXT(Sales[[#This Row],[Order_Date]],"mmm")</f>
        <v>Jul</v>
      </c>
      <c r="D1012" t="s">
        <v>258</v>
      </c>
      <c r="E1012" t="s">
        <v>25</v>
      </c>
      <c r="F1012" t="s">
        <v>83</v>
      </c>
      <c r="G1012" t="s">
        <v>93</v>
      </c>
      <c r="H1012">
        <v>2</v>
      </c>
      <c r="I1012">
        <v>931</v>
      </c>
      <c r="J1012">
        <v>1862</v>
      </c>
    </row>
    <row r="1013" spans="1:10" x14ac:dyDescent="0.3">
      <c r="A1013">
        <v>1110</v>
      </c>
      <c r="B1013" t="s">
        <v>270</v>
      </c>
      <c r="C1013" t="str">
        <f>TEXT(Sales[[#This Row],[Order_Date]],"mmm")</f>
        <v>May</v>
      </c>
      <c r="D1013" t="s">
        <v>324</v>
      </c>
      <c r="E1013" t="s">
        <v>42</v>
      </c>
      <c r="F1013" t="s">
        <v>136</v>
      </c>
      <c r="G1013" t="s">
        <v>67</v>
      </c>
      <c r="H1013">
        <v>3</v>
      </c>
      <c r="I1013">
        <v>2913</v>
      </c>
      <c r="J1013">
        <v>8739</v>
      </c>
    </row>
    <row r="1014" spans="1:10" x14ac:dyDescent="0.3">
      <c r="A1014">
        <v>1282</v>
      </c>
      <c r="B1014" t="s">
        <v>427</v>
      </c>
      <c r="C1014" t="str">
        <f>TEXT(Sales[[#This Row],[Order_Date]],"mmm")</f>
        <v>Jun</v>
      </c>
      <c r="D1014" t="s">
        <v>375</v>
      </c>
      <c r="E1014" t="s">
        <v>25</v>
      </c>
      <c r="F1014" t="s">
        <v>83</v>
      </c>
      <c r="G1014" t="s">
        <v>57</v>
      </c>
      <c r="H1014">
        <v>4</v>
      </c>
      <c r="I1014">
        <v>3927</v>
      </c>
      <c r="J1014">
        <v>15708</v>
      </c>
    </row>
    <row r="1015" spans="1:10" x14ac:dyDescent="0.3">
      <c r="A1015">
        <v>1355</v>
      </c>
      <c r="B1015" t="s">
        <v>347</v>
      </c>
      <c r="C1015" t="str">
        <f>TEXT(Sales[[#This Row],[Order_Date]],"mmm")</f>
        <v>May</v>
      </c>
      <c r="D1015" t="s">
        <v>296</v>
      </c>
      <c r="E1015" t="s">
        <v>16</v>
      </c>
      <c r="F1015" t="s">
        <v>83</v>
      </c>
      <c r="G1015" t="s">
        <v>78</v>
      </c>
      <c r="H1015">
        <v>2</v>
      </c>
      <c r="I1015">
        <v>4485</v>
      </c>
      <c r="J1015">
        <v>8970</v>
      </c>
    </row>
    <row r="1016" spans="1:10" x14ac:dyDescent="0.3">
      <c r="A1016">
        <v>1166</v>
      </c>
      <c r="B1016" t="s">
        <v>529</v>
      </c>
      <c r="C1016" t="str">
        <f>TEXT(Sales[[#This Row],[Order_Date]],"mmm")</f>
        <v>Jun</v>
      </c>
      <c r="D1016" t="s">
        <v>144</v>
      </c>
      <c r="E1016" t="s">
        <v>42</v>
      </c>
      <c r="F1016" t="s">
        <v>89</v>
      </c>
      <c r="G1016" t="s">
        <v>27</v>
      </c>
      <c r="H1016">
        <v>4</v>
      </c>
      <c r="I1016">
        <v>535</v>
      </c>
      <c r="J1016">
        <v>2140</v>
      </c>
    </row>
    <row r="1017" spans="1:10" x14ac:dyDescent="0.3">
      <c r="A1017">
        <v>1126</v>
      </c>
      <c r="B1017" t="s">
        <v>492</v>
      </c>
      <c r="C1017" t="str">
        <f>TEXT(Sales[[#This Row],[Order_Date]],"mmm")</f>
        <v>Jan</v>
      </c>
      <c r="D1017" t="s">
        <v>169</v>
      </c>
      <c r="E1017" t="s">
        <v>25</v>
      </c>
      <c r="F1017" t="s">
        <v>89</v>
      </c>
      <c r="G1017" t="s">
        <v>27</v>
      </c>
      <c r="H1017">
        <v>1</v>
      </c>
      <c r="I1017">
        <v>608</v>
      </c>
      <c r="J1017">
        <v>608</v>
      </c>
    </row>
    <row r="1018" spans="1:10" x14ac:dyDescent="0.3">
      <c r="A1018">
        <v>1290</v>
      </c>
      <c r="B1018" t="s">
        <v>369</v>
      </c>
      <c r="C1018" t="str">
        <f>TEXT(Sales[[#This Row],[Order_Date]],"mmm")</f>
        <v>Sep</v>
      </c>
      <c r="D1018" t="s">
        <v>103</v>
      </c>
      <c r="E1018" t="s">
        <v>11</v>
      </c>
      <c r="F1018" t="s">
        <v>17</v>
      </c>
      <c r="G1018" t="s">
        <v>72</v>
      </c>
      <c r="H1018">
        <v>2</v>
      </c>
      <c r="I1018">
        <v>3739</v>
      </c>
      <c r="J1018">
        <v>7478</v>
      </c>
    </row>
    <row r="1019" spans="1:10" x14ac:dyDescent="0.3">
      <c r="A1019">
        <v>1224</v>
      </c>
      <c r="B1019" t="s">
        <v>367</v>
      </c>
      <c r="C1019" t="str">
        <f>TEXT(Sales[[#This Row],[Order_Date]],"mmm")</f>
        <v>Jan</v>
      </c>
      <c r="D1019" t="s">
        <v>342</v>
      </c>
      <c r="E1019" t="s">
        <v>11</v>
      </c>
      <c r="F1019" t="s">
        <v>89</v>
      </c>
      <c r="G1019" t="s">
        <v>13</v>
      </c>
      <c r="H1019">
        <v>4</v>
      </c>
      <c r="I1019">
        <v>1003</v>
      </c>
      <c r="J1019">
        <v>4012</v>
      </c>
    </row>
    <row r="1020" spans="1:10" x14ac:dyDescent="0.3">
      <c r="A1020">
        <v>1318</v>
      </c>
      <c r="B1020" t="s">
        <v>626</v>
      </c>
      <c r="C1020" t="str">
        <f>TEXT(Sales[[#This Row],[Order_Date]],"mmm")</f>
        <v>Mar</v>
      </c>
      <c r="D1020" t="s">
        <v>222</v>
      </c>
      <c r="E1020" t="s">
        <v>16</v>
      </c>
      <c r="F1020" t="s">
        <v>136</v>
      </c>
      <c r="G1020" t="s">
        <v>22</v>
      </c>
      <c r="H1020">
        <v>3</v>
      </c>
      <c r="I1020">
        <v>1311</v>
      </c>
      <c r="J1020">
        <v>3933</v>
      </c>
    </row>
    <row r="1021" spans="1:10" x14ac:dyDescent="0.3">
      <c r="A1021">
        <v>1312</v>
      </c>
      <c r="B1021" t="s">
        <v>649</v>
      </c>
      <c r="C1021" t="str">
        <f>TEXT(Sales[[#This Row],[Order_Date]],"mmm")</f>
        <v>Feb</v>
      </c>
      <c r="D1021" t="s">
        <v>532</v>
      </c>
      <c r="E1021" t="s">
        <v>11</v>
      </c>
      <c r="F1021" t="s">
        <v>136</v>
      </c>
      <c r="G1021" t="s">
        <v>67</v>
      </c>
      <c r="H1021">
        <v>4</v>
      </c>
      <c r="I1021">
        <v>986</v>
      </c>
      <c r="J1021">
        <v>3944</v>
      </c>
    </row>
    <row r="1022" spans="1:10" x14ac:dyDescent="0.3">
      <c r="A1022">
        <v>1320</v>
      </c>
      <c r="B1022" t="s">
        <v>369</v>
      </c>
      <c r="C1022" t="str">
        <f>TEXT(Sales[[#This Row],[Order_Date]],"mmm")</f>
        <v>Sep</v>
      </c>
      <c r="D1022" t="s">
        <v>484</v>
      </c>
      <c r="E1022" t="s">
        <v>11</v>
      </c>
      <c r="F1022" t="s">
        <v>89</v>
      </c>
      <c r="G1022" t="s">
        <v>75</v>
      </c>
      <c r="H1022">
        <v>4</v>
      </c>
      <c r="I1022">
        <v>3644</v>
      </c>
      <c r="J1022">
        <v>14576</v>
      </c>
    </row>
    <row r="1023" spans="1:10" x14ac:dyDescent="0.3">
      <c r="A1023">
        <v>1572</v>
      </c>
      <c r="B1023" t="s">
        <v>313</v>
      </c>
      <c r="C1023" t="str">
        <f>TEXT(Sales[[#This Row],[Order_Date]],"mmm")</f>
        <v>Jan</v>
      </c>
      <c r="D1023" t="s">
        <v>583</v>
      </c>
      <c r="E1023" t="s">
        <v>42</v>
      </c>
      <c r="F1023" t="s">
        <v>136</v>
      </c>
      <c r="G1023" t="s">
        <v>124</v>
      </c>
      <c r="H1023">
        <v>2</v>
      </c>
      <c r="I1023">
        <v>4954</v>
      </c>
      <c r="J1023">
        <v>9908</v>
      </c>
    </row>
    <row r="1024" spans="1:10" x14ac:dyDescent="0.3">
      <c r="A1024">
        <v>1556</v>
      </c>
      <c r="B1024" t="s">
        <v>235</v>
      </c>
      <c r="C1024" t="str">
        <f>TEXT(Sales[[#This Row],[Order_Date]],"mmm")</f>
        <v>Oct</v>
      </c>
      <c r="D1024" t="s">
        <v>324</v>
      </c>
      <c r="E1024" t="s">
        <v>11</v>
      </c>
      <c r="F1024" t="s">
        <v>89</v>
      </c>
      <c r="G1024" t="s">
        <v>27</v>
      </c>
      <c r="H1024">
        <v>4</v>
      </c>
      <c r="I1024">
        <v>248</v>
      </c>
      <c r="J1024">
        <v>992</v>
      </c>
    </row>
    <row r="1025" spans="1:10" x14ac:dyDescent="0.3">
      <c r="A1025">
        <v>1530</v>
      </c>
      <c r="B1025" t="s">
        <v>525</v>
      </c>
      <c r="C1025" t="str">
        <f>TEXT(Sales[[#This Row],[Order_Date]],"mmm")</f>
        <v>Aug</v>
      </c>
      <c r="D1025" t="s">
        <v>463</v>
      </c>
      <c r="E1025" t="s">
        <v>42</v>
      </c>
      <c r="F1025" t="s">
        <v>83</v>
      </c>
      <c r="G1025" t="s">
        <v>32</v>
      </c>
      <c r="H1025">
        <v>1</v>
      </c>
      <c r="I1025">
        <v>2931</v>
      </c>
      <c r="J1025">
        <v>2931</v>
      </c>
    </row>
    <row r="1026" spans="1:10" x14ac:dyDescent="0.3">
      <c r="A1026">
        <v>1579</v>
      </c>
      <c r="B1026" t="s">
        <v>524</v>
      </c>
      <c r="C1026" t="str">
        <f>TEXT(Sales[[#This Row],[Order_Date]],"mmm")</f>
        <v>Sep</v>
      </c>
      <c r="D1026" t="s">
        <v>185</v>
      </c>
      <c r="E1026" t="s">
        <v>42</v>
      </c>
      <c r="F1026" t="s">
        <v>89</v>
      </c>
      <c r="G1026" t="s">
        <v>27</v>
      </c>
      <c r="H1026">
        <v>2</v>
      </c>
      <c r="I1026">
        <v>4429</v>
      </c>
      <c r="J1026">
        <v>8858</v>
      </c>
    </row>
    <row r="1027" spans="1:10" x14ac:dyDescent="0.3">
      <c r="A1027">
        <v>1507</v>
      </c>
      <c r="B1027" t="s">
        <v>543</v>
      </c>
      <c r="C1027" t="str">
        <f>TEXT(Sales[[#This Row],[Order_Date]],"mmm")</f>
        <v>Mar</v>
      </c>
      <c r="D1027" t="s">
        <v>326</v>
      </c>
      <c r="E1027" t="s">
        <v>657</v>
      </c>
      <c r="F1027" t="s">
        <v>17</v>
      </c>
      <c r="G1027" t="s">
        <v>101</v>
      </c>
      <c r="H1027">
        <v>4</v>
      </c>
      <c r="I1027">
        <v>1844</v>
      </c>
      <c r="J1027">
        <v>7376</v>
      </c>
    </row>
    <row r="1028" spans="1:10" x14ac:dyDescent="0.3">
      <c r="A1028">
        <v>1123</v>
      </c>
      <c r="B1028" t="s">
        <v>143</v>
      </c>
      <c r="C1028" t="str">
        <f>TEXT(Sales[[#This Row],[Order_Date]],"mmm")</f>
        <v>Sep</v>
      </c>
      <c r="D1028" t="s">
        <v>77</v>
      </c>
      <c r="E1028" t="s">
        <v>16</v>
      </c>
      <c r="F1028" t="s">
        <v>17</v>
      </c>
      <c r="G1028" t="s">
        <v>114</v>
      </c>
      <c r="H1028">
        <v>1</v>
      </c>
      <c r="I1028">
        <v>4343</v>
      </c>
      <c r="J1028">
        <v>4343</v>
      </c>
    </row>
    <row r="1029" spans="1:10" x14ac:dyDescent="0.3">
      <c r="A1029">
        <v>1124</v>
      </c>
      <c r="B1029" t="s">
        <v>373</v>
      </c>
      <c r="C1029" t="str">
        <f>TEXT(Sales[[#This Row],[Order_Date]],"mmm")</f>
        <v>Jun</v>
      </c>
      <c r="D1029" t="s">
        <v>80</v>
      </c>
      <c r="E1029" t="s">
        <v>42</v>
      </c>
      <c r="F1029" t="s">
        <v>136</v>
      </c>
      <c r="G1029" t="s">
        <v>128</v>
      </c>
      <c r="H1029">
        <v>5</v>
      </c>
      <c r="I1029">
        <v>3797</v>
      </c>
      <c r="J1029">
        <v>18985</v>
      </c>
    </row>
    <row r="1030" spans="1:10" x14ac:dyDescent="0.3">
      <c r="A1030">
        <v>1442</v>
      </c>
      <c r="B1030" t="s">
        <v>602</v>
      </c>
      <c r="C1030" t="str">
        <f>TEXT(Sales[[#This Row],[Order_Date]],"mmm")</f>
        <v>Mar</v>
      </c>
      <c r="D1030" t="s">
        <v>38</v>
      </c>
      <c r="E1030" t="s">
        <v>16</v>
      </c>
      <c r="F1030" t="s">
        <v>83</v>
      </c>
      <c r="G1030" t="s">
        <v>93</v>
      </c>
      <c r="H1030">
        <v>2</v>
      </c>
      <c r="I1030">
        <v>4390</v>
      </c>
      <c r="J1030">
        <v>8780</v>
      </c>
    </row>
    <row r="1031" spans="1:10" x14ac:dyDescent="0.3">
      <c r="A1031">
        <v>1487</v>
      </c>
      <c r="B1031" t="s">
        <v>178</v>
      </c>
      <c r="C1031" t="str">
        <f>TEXT(Sales[[#This Row],[Order_Date]],"mmm")</f>
        <v>Sep</v>
      </c>
      <c r="D1031" t="s">
        <v>370</v>
      </c>
      <c r="E1031" t="s">
        <v>25</v>
      </c>
      <c r="F1031" t="s">
        <v>89</v>
      </c>
      <c r="G1031" t="s">
        <v>27</v>
      </c>
      <c r="H1031">
        <v>3</v>
      </c>
      <c r="I1031">
        <v>3404</v>
      </c>
      <c r="J1031">
        <v>10212</v>
      </c>
    </row>
    <row r="1032" spans="1:10" x14ac:dyDescent="0.3">
      <c r="A1032">
        <v>1475</v>
      </c>
      <c r="B1032" t="s">
        <v>577</v>
      </c>
      <c r="C1032" t="str">
        <f>TEXT(Sales[[#This Row],[Order_Date]],"mmm")</f>
        <v>Aug</v>
      </c>
      <c r="D1032" t="s">
        <v>142</v>
      </c>
      <c r="E1032" t="s">
        <v>657</v>
      </c>
      <c r="F1032" t="s">
        <v>136</v>
      </c>
      <c r="G1032" t="s">
        <v>128</v>
      </c>
      <c r="H1032">
        <v>4</v>
      </c>
      <c r="I1032">
        <v>1184</v>
      </c>
      <c r="J1032">
        <v>4736</v>
      </c>
    </row>
    <row r="1033" spans="1:10" x14ac:dyDescent="0.3">
      <c r="A1033">
        <v>1310</v>
      </c>
      <c r="B1033" t="s">
        <v>310</v>
      </c>
      <c r="C1033" t="str">
        <f>TEXT(Sales[[#This Row],[Order_Date]],"mmm")</f>
        <v>Jan</v>
      </c>
      <c r="D1033" t="s">
        <v>273</v>
      </c>
      <c r="E1033" t="s">
        <v>11</v>
      </c>
      <c r="F1033" t="s">
        <v>136</v>
      </c>
      <c r="G1033" t="s">
        <v>124</v>
      </c>
      <c r="H1033">
        <v>4</v>
      </c>
      <c r="I1033">
        <v>3954</v>
      </c>
      <c r="J1033">
        <v>15816</v>
      </c>
    </row>
    <row r="1034" spans="1:10" x14ac:dyDescent="0.3">
      <c r="A1034">
        <v>1366</v>
      </c>
      <c r="B1034" t="s">
        <v>58</v>
      </c>
      <c r="C1034" t="str">
        <f>TEXT(Sales[[#This Row],[Order_Date]],"mmm")</f>
        <v>Sep</v>
      </c>
      <c r="D1034" t="s">
        <v>238</v>
      </c>
      <c r="E1034" t="s">
        <v>25</v>
      </c>
      <c r="F1034" t="s">
        <v>17</v>
      </c>
      <c r="G1034" t="s">
        <v>101</v>
      </c>
      <c r="H1034">
        <v>2</v>
      </c>
      <c r="I1034">
        <v>1440</v>
      </c>
      <c r="J1034">
        <v>2880</v>
      </c>
    </row>
    <row r="1035" spans="1:10" x14ac:dyDescent="0.3">
      <c r="A1035">
        <v>1347</v>
      </c>
      <c r="B1035" t="s">
        <v>525</v>
      </c>
      <c r="C1035" t="str">
        <f>TEXT(Sales[[#This Row],[Order_Date]],"mmm")</f>
        <v>Aug</v>
      </c>
      <c r="D1035" t="s">
        <v>308</v>
      </c>
      <c r="E1035" t="s">
        <v>11</v>
      </c>
      <c r="F1035" t="s">
        <v>17</v>
      </c>
      <c r="G1035" t="s">
        <v>101</v>
      </c>
      <c r="H1035">
        <v>1</v>
      </c>
      <c r="I1035">
        <v>4162</v>
      </c>
      <c r="J1035">
        <v>4162</v>
      </c>
    </row>
    <row r="1036" spans="1:10" x14ac:dyDescent="0.3">
      <c r="A1036">
        <v>1184</v>
      </c>
      <c r="B1036" t="s">
        <v>520</v>
      </c>
      <c r="C1036" t="str">
        <f>TEXT(Sales[[#This Row],[Order_Date]],"mmm")</f>
        <v>Oct</v>
      </c>
      <c r="D1036" t="s">
        <v>381</v>
      </c>
      <c r="E1036" t="s">
        <v>25</v>
      </c>
      <c r="F1036" t="s">
        <v>89</v>
      </c>
      <c r="G1036" t="s">
        <v>13</v>
      </c>
      <c r="H1036">
        <v>5</v>
      </c>
      <c r="I1036">
        <v>3507</v>
      </c>
      <c r="J1036">
        <v>17535</v>
      </c>
    </row>
    <row r="1037" spans="1:10" x14ac:dyDescent="0.3">
      <c r="A1037">
        <v>1162</v>
      </c>
      <c r="B1037" t="s">
        <v>552</v>
      </c>
      <c r="C1037" t="str">
        <f>TEXT(Sales[[#This Row],[Order_Date]],"mmm")</f>
        <v>Apr</v>
      </c>
      <c r="D1037" t="s">
        <v>77</v>
      </c>
      <c r="E1037" t="s">
        <v>25</v>
      </c>
      <c r="F1037" t="s">
        <v>83</v>
      </c>
      <c r="G1037" t="s">
        <v>78</v>
      </c>
      <c r="H1037">
        <v>2</v>
      </c>
      <c r="I1037">
        <v>2138</v>
      </c>
      <c r="J1037">
        <v>4276</v>
      </c>
    </row>
    <row r="1038" spans="1:10" x14ac:dyDescent="0.3">
      <c r="A1038">
        <v>1393</v>
      </c>
      <c r="B1038" t="s">
        <v>127</v>
      </c>
      <c r="C1038" t="str">
        <f>TEXT(Sales[[#This Row],[Order_Date]],"mmm")</f>
        <v>Aug</v>
      </c>
      <c r="D1038" t="s">
        <v>426</v>
      </c>
      <c r="E1038" t="s">
        <v>25</v>
      </c>
      <c r="F1038" t="s">
        <v>83</v>
      </c>
      <c r="G1038" t="s">
        <v>32</v>
      </c>
      <c r="H1038">
        <v>1</v>
      </c>
      <c r="I1038">
        <v>797</v>
      </c>
      <c r="J1038">
        <v>797</v>
      </c>
    </row>
    <row r="1039" spans="1:10" x14ac:dyDescent="0.3">
      <c r="A1039">
        <v>1030</v>
      </c>
      <c r="B1039" t="s">
        <v>441</v>
      </c>
      <c r="C1039" t="str">
        <f>TEXT(Sales[[#This Row],[Order_Date]],"mmm")</f>
        <v>Mar</v>
      </c>
      <c r="D1039" t="s">
        <v>239</v>
      </c>
      <c r="E1039" t="s">
        <v>11</v>
      </c>
      <c r="F1039" t="s">
        <v>83</v>
      </c>
      <c r="G1039" t="s">
        <v>78</v>
      </c>
      <c r="H1039">
        <v>5</v>
      </c>
      <c r="I1039">
        <v>4758</v>
      </c>
      <c r="J1039">
        <v>23790</v>
      </c>
    </row>
    <row r="1040" spans="1:10" x14ac:dyDescent="0.3">
      <c r="A1040">
        <v>1448</v>
      </c>
      <c r="B1040" t="s">
        <v>223</v>
      </c>
      <c r="C1040" t="str">
        <f>TEXT(Sales[[#This Row],[Order_Date]],"mmm")</f>
        <v>Dec</v>
      </c>
      <c r="D1040" t="s">
        <v>87</v>
      </c>
      <c r="E1040" t="s">
        <v>11</v>
      </c>
      <c r="F1040" t="s">
        <v>17</v>
      </c>
      <c r="G1040" t="s">
        <v>114</v>
      </c>
      <c r="H1040">
        <v>5</v>
      </c>
      <c r="I1040">
        <v>1775</v>
      </c>
      <c r="J1040">
        <v>8875</v>
      </c>
    </row>
    <row r="1041" spans="1:10" x14ac:dyDescent="0.3">
      <c r="A1041">
        <v>1098</v>
      </c>
      <c r="B1041" t="s">
        <v>374</v>
      </c>
      <c r="C1041" t="str">
        <f>TEXT(Sales[[#This Row],[Order_Date]],"mmm")</f>
        <v>Apr</v>
      </c>
      <c r="D1041" t="s">
        <v>598</v>
      </c>
      <c r="E1041" t="s">
        <v>11</v>
      </c>
      <c r="F1041" t="s">
        <v>17</v>
      </c>
      <c r="G1041" t="s">
        <v>72</v>
      </c>
      <c r="H1041">
        <v>5</v>
      </c>
      <c r="I1041">
        <v>4677</v>
      </c>
      <c r="J1041">
        <v>23385</v>
      </c>
    </row>
    <row r="1042" spans="1:10" x14ac:dyDescent="0.3">
      <c r="A1042">
        <v>1540</v>
      </c>
      <c r="B1042" t="s">
        <v>578</v>
      </c>
      <c r="C1042" t="str">
        <f>TEXT(Sales[[#This Row],[Order_Date]],"mmm")</f>
        <v>Sep</v>
      </c>
      <c r="D1042" t="s">
        <v>375</v>
      </c>
      <c r="E1042" t="s">
        <v>25</v>
      </c>
      <c r="F1042" t="s">
        <v>17</v>
      </c>
      <c r="G1042" t="s">
        <v>18</v>
      </c>
      <c r="H1042">
        <v>3</v>
      </c>
      <c r="I1042">
        <v>4776</v>
      </c>
      <c r="J1042">
        <v>14328</v>
      </c>
    </row>
    <row r="1043" spans="1:10" x14ac:dyDescent="0.3">
      <c r="A1043">
        <v>1449</v>
      </c>
      <c r="B1043" t="s">
        <v>556</v>
      </c>
      <c r="C1043" t="str">
        <f>TEXT(Sales[[#This Row],[Order_Date]],"mmm")</f>
        <v>Aug</v>
      </c>
      <c r="D1043" t="s">
        <v>51</v>
      </c>
      <c r="E1043" t="s">
        <v>11</v>
      </c>
      <c r="F1043" t="s">
        <v>136</v>
      </c>
      <c r="G1043" t="s">
        <v>124</v>
      </c>
      <c r="H1043">
        <v>5</v>
      </c>
      <c r="I1043">
        <v>2643</v>
      </c>
      <c r="J1043">
        <v>13215</v>
      </c>
    </row>
    <row r="1044" spans="1:10" x14ac:dyDescent="0.3">
      <c r="A1044">
        <v>1052</v>
      </c>
      <c r="B1044" t="s">
        <v>513</v>
      </c>
      <c r="C1044" t="str">
        <f>TEXT(Sales[[#This Row],[Order_Date]],"mmm")</f>
        <v>Nov</v>
      </c>
      <c r="D1044" t="s">
        <v>550</v>
      </c>
      <c r="E1044" t="s">
        <v>42</v>
      </c>
      <c r="F1044" t="s">
        <v>89</v>
      </c>
      <c r="G1044" t="s">
        <v>27</v>
      </c>
      <c r="H1044">
        <v>3</v>
      </c>
      <c r="I1044">
        <v>3398</v>
      </c>
      <c r="J1044">
        <v>10194</v>
      </c>
    </row>
    <row r="1045" spans="1:10" x14ac:dyDescent="0.3">
      <c r="A1045">
        <v>1161</v>
      </c>
      <c r="B1045" t="s">
        <v>347</v>
      </c>
      <c r="C1045" t="str">
        <f>TEXT(Sales[[#This Row],[Order_Date]],"mmm")</f>
        <v>May</v>
      </c>
      <c r="D1045" t="s">
        <v>623</v>
      </c>
      <c r="E1045" t="s">
        <v>11</v>
      </c>
      <c r="F1045" t="s">
        <v>17</v>
      </c>
      <c r="G1045" t="s">
        <v>18</v>
      </c>
      <c r="H1045">
        <v>5</v>
      </c>
      <c r="I1045">
        <v>664</v>
      </c>
      <c r="J1045">
        <v>3320</v>
      </c>
    </row>
    <row r="1046" spans="1:10" x14ac:dyDescent="0.3">
      <c r="A1046">
        <v>1596</v>
      </c>
      <c r="B1046" t="s">
        <v>605</v>
      </c>
      <c r="C1046" t="str">
        <f>TEXT(Sales[[#This Row],[Order_Date]],"mmm")</f>
        <v>Aug</v>
      </c>
      <c r="D1046" t="s">
        <v>484</v>
      </c>
      <c r="E1046" t="s">
        <v>25</v>
      </c>
      <c r="F1046" t="s">
        <v>89</v>
      </c>
      <c r="G1046" t="s">
        <v>27</v>
      </c>
      <c r="H1046">
        <v>4</v>
      </c>
      <c r="I1046">
        <v>2337</v>
      </c>
      <c r="J1046">
        <v>9348</v>
      </c>
    </row>
    <row r="1047" spans="1:10" x14ac:dyDescent="0.3">
      <c r="A1047">
        <v>1060</v>
      </c>
      <c r="B1047" t="s">
        <v>622</v>
      </c>
      <c r="C1047" t="str">
        <f>TEXT(Sales[[#This Row],[Order_Date]],"mmm")</f>
        <v>Mar</v>
      </c>
      <c r="D1047" t="s">
        <v>236</v>
      </c>
      <c r="E1047" t="s">
        <v>16</v>
      </c>
      <c r="F1047" t="s">
        <v>89</v>
      </c>
      <c r="G1047" t="s">
        <v>27</v>
      </c>
      <c r="H1047">
        <v>1</v>
      </c>
      <c r="I1047">
        <v>4819</v>
      </c>
      <c r="J1047">
        <v>4819</v>
      </c>
    </row>
    <row r="1048" spans="1:10" x14ac:dyDescent="0.3">
      <c r="A1048">
        <v>1036</v>
      </c>
      <c r="B1048" t="s">
        <v>642</v>
      </c>
      <c r="C1048" t="str">
        <f>TEXT(Sales[[#This Row],[Order_Date]],"mmm")</f>
        <v>Jun</v>
      </c>
      <c r="D1048" t="s">
        <v>397</v>
      </c>
      <c r="E1048" t="s">
        <v>16</v>
      </c>
      <c r="F1048" t="s">
        <v>136</v>
      </c>
      <c r="G1048" t="s">
        <v>67</v>
      </c>
      <c r="H1048">
        <v>2</v>
      </c>
      <c r="I1048">
        <v>2416</v>
      </c>
      <c r="J1048">
        <v>4832</v>
      </c>
    </row>
    <row r="1049" spans="1:10" x14ac:dyDescent="0.3">
      <c r="A1049">
        <v>1508</v>
      </c>
      <c r="B1049" t="s">
        <v>205</v>
      </c>
      <c r="C1049" t="str">
        <f>TEXT(Sales[[#This Row],[Order_Date]],"mmm")</f>
        <v>Sep</v>
      </c>
      <c r="D1049" t="s">
        <v>326</v>
      </c>
      <c r="E1049" t="s">
        <v>42</v>
      </c>
      <c r="F1049" t="s">
        <v>89</v>
      </c>
      <c r="G1049" t="s">
        <v>75</v>
      </c>
      <c r="H1049">
        <v>2</v>
      </c>
      <c r="I1049">
        <v>375</v>
      </c>
      <c r="J1049">
        <v>750</v>
      </c>
    </row>
    <row r="1050" spans="1:10" x14ac:dyDescent="0.3">
      <c r="A1050">
        <v>1200</v>
      </c>
      <c r="B1050" t="s">
        <v>376</v>
      </c>
      <c r="C1050" t="str">
        <f>TEXT(Sales[[#This Row],[Order_Date]],"mmm")</f>
        <v>Sep</v>
      </c>
      <c r="D1050" t="s">
        <v>201</v>
      </c>
      <c r="E1050" t="s">
        <v>42</v>
      </c>
      <c r="F1050" t="s">
        <v>136</v>
      </c>
      <c r="G1050" t="s">
        <v>124</v>
      </c>
      <c r="H1050">
        <v>4</v>
      </c>
      <c r="I1050">
        <v>3290</v>
      </c>
      <c r="J1050">
        <v>13160</v>
      </c>
    </row>
    <row r="1051" spans="1:10" x14ac:dyDescent="0.3">
      <c r="A1051">
        <v>1437</v>
      </c>
      <c r="B1051" t="s">
        <v>379</v>
      </c>
      <c r="C1051" t="str">
        <f>TEXT(Sales[[#This Row],[Order_Date]],"mmm")</f>
        <v>Oct</v>
      </c>
      <c r="D1051" t="s">
        <v>146</v>
      </c>
      <c r="E1051" t="s">
        <v>25</v>
      </c>
      <c r="F1051" t="s">
        <v>83</v>
      </c>
      <c r="G1051" t="s">
        <v>78</v>
      </c>
      <c r="H1051">
        <v>3</v>
      </c>
      <c r="I1051">
        <v>1786</v>
      </c>
      <c r="J1051">
        <v>5358</v>
      </c>
    </row>
    <row r="1052" spans="1:10" x14ac:dyDescent="0.3">
      <c r="A1052">
        <v>1243</v>
      </c>
      <c r="B1052" t="s">
        <v>552</v>
      </c>
      <c r="C1052" t="str">
        <f>TEXT(Sales[[#This Row],[Order_Date]],"mmm")</f>
        <v>Apr</v>
      </c>
      <c r="D1052" t="s">
        <v>247</v>
      </c>
      <c r="E1052" t="s">
        <v>42</v>
      </c>
      <c r="F1052" t="s">
        <v>83</v>
      </c>
      <c r="G1052" t="s">
        <v>93</v>
      </c>
      <c r="H1052">
        <v>1</v>
      </c>
      <c r="I1052">
        <v>2247</v>
      </c>
      <c r="J1052">
        <v>2247</v>
      </c>
    </row>
    <row r="1053" spans="1:10" x14ac:dyDescent="0.3">
      <c r="A1053">
        <v>1129</v>
      </c>
      <c r="B1053" t="s">
        <v>190</v>
      </c>
      <c r="C1053" t="str">
        <f>TEXT(Sales[[#This Row],[Order_Date]],"mmm")</f>
        <v>Aug</v>
      </c>
      <c r="D1053" t="s">
        <v>586</v>
      </c>
      <c r="E1053" t="s">
        <v>25</v>
      </c>
      <c r="F1053" t="s">
        <v>89</v>
      </c>
      <c r="G1053" t="s">
        <v>27</v>
      </c>
      <c r="H1053">
        <v>5</v>
      </c>
      <c r="I1053">
        <v>2200</v>
      </c>
      <c r="J1053">
        <v>11000</v>
      </c>
    </row>
    <row r="1054" spans="1:10" x14ac:dyDescent="0.3">
      <c r="A1054">
        <v>1407</v>
      </c>
      <c r="B1054" t="s">
        <v>178</v>
      </c>
      <c r="C1054" t="str">
        <f>TEXT(Sales[[#This Row],[Order_Date]],"mmm")</f>
        <v>Sep</v>
      </c>
      <c r="D1054" t="s">
        <v>66</v>
      </c>
      <c r="E1054" t="s">
        <v>42</v>
      </c>
      <c r="F1054" t="s">
        <v>83</v>
      </c>
      <c r="G1054" t="s">
        <v>32</v>
      </c>
      <c r="H1054">
        <v>5</v>
      </c>
      <c r="I1054">
        <v>1886</v>
      </c>
      <c r="J1054">
        <v>9430</v>
      </c>
    </row>
    <row r="1055" spans="1:10" x14ac:dyDescent="0.3">
      <c r="A1055">
        <v>1365</v>
      </c>
      <c r="B1055" t="s">
        <v>40</v>
      </c>
      <c r="C1055" t="str">
        <f>TEXT(Sales[[#This Row],[Order_Date]],"mmm")</f>
        <v>Apr</v>
      </c>
      <c r="D1055" t="s">
        <v>199</v>
      </c>
      <c r="E1055" t="s">
        <v>16</v>
      </c>
      <c r="F1055" t="s">
        <v>89</v>
      </c>
      <c r="G1055" t="s">
        <v>95</v>
      </c>
      <c r="H1055">
        <v>5</v>
      </c>
      <c r="I1055">
        <v>2391</v>
      </c>
      <c r="J1055">
        <v>11955</v>
      </c>
    </row>
    <row r="1056" spans="1:10" x14ac:dyDescent="0.3">
      <c r="A1056">
        <v>1106</v>
      </c>
      <c r="B1056" t="s">
        <v>492</v>
      </c>
      <c r="C1056" t="str">
        <f>TEXT(Sales[[#This Row],[Order_Date]],"mmm")</f>
        <v>Jan</v>
      </c>
      <c r="D1056" t="s">
        <v>452</v>
      </c>
      <c r="E1056" t="s">
        <v>42</v>
      </c>
      <c r="F1056" t="s">
        <v>136</v>
      </c>
      <c r="G1056" t="s">
        <v>67</v>
      </c>
      <c r="H1056">
        <v>1</v>
      </c>
      <c r="I1056">
        <v>1867</v>
      </c>
      <c r="J1056">
        <v>1867</v>
      </c>
    </row>
    <row r="1057" spans="1:10" x14ac:dyDescent="0.3">
      <c r="A1057">
        <v>1533</v>
      </c>
      <c r="B1057" t="s">
        <v>552</v>
      </c>
      <c r="C1057" t="str">
        <f>TEXT(Sales[[#This Row],[Order_Date]],"mmm")</f>
        <v>Apr</v>
      </c>
      <c r="D1057" t="s">
        <v>118</v>
      </c>
      <c r="E1057" t="s">
        <v>11</v>
      </c>
      <c r="F1057" t="s">
        <v>17</v>
      </c>
      <c r="G1057" t="s">
        <v>72</v>
      </c>
      <c r="H1057">
        <v>1</v>
      </c>
      <c r="I1057">
        <v>2125</v>
      </c>
      <c r="J1057">
        <v>2125</v>
      </c>
    </row>
    <row r="1058" spans="1:10" x14ac:dyDescent="0.3">
      <c r="A1058">
        <v>1464</v>
      </c>
      <c r="B1058" t="s">
        <v>560</v>
      </c>
      <c r="C1058" t="str">
        <f>TEXT(Sales[[#This Row],[Order_Date]],"mmm")</f>
        <v>Feb</v>
      </c>
      <c r="D1058" t="s">
        <v>584</v>
      </c>
      <c r="E1058" t="s">
        <v>42</v>
      </c>
      <c r="F1058" t="s">
        <v>136</v>
      </c>
      <c r="G1058" t="s">
        <v>124</v>
      </c>
      <c r="H1058">
        <v>5</v>
      </c>
      <c r="I1058">
        <v>3347</v>
      </c>
      <c r="J1058">
        <v>16735</v>
      </c>
    </row>
    <row r="1059" spans="1:10" x14ac:dyDescent="0.3">
      <c r="A1059">
        <v>1061</v>
      </c>
      <c r="B1059" t="s">
        <v>165</v>
      </c>
      <c r="C1059" t="str">
        <f>TEXT(Sales[[#This Row],[Order_Date]],"mmm")</f>
        <v>May</v>
      </c>
      <c r="D1059" t="s">
        <v>150</v>
      </c>
      <c r="E1059" t="s">
        <v>11</v>
      </c>
      <c r="F1059" t="s">
        <v>136</v>
      </c>
      <c r="G1059" t="s">
        <v>46</v>
      </c>
      <c r="H1059">
        <v>4</v>
      </c>
      <c r="I1059">
        <v>3837</v>
      </c>
      <c r="J1059">
        <v>15348</v>
      </c>
    </row>
    <row r="1060" spans="1:10" x14ac:dyDescent="0.3">
      <c r="A1060">
        <v>1188</v>
      </c>
      <c r="B1060" t="s">
        <v>131</v>
      </c>
      <c r="C1060" t="str">
        <f>TEXT(Sales[[#This Row],[Order_Date]],"mmm")</f>
        <v>Dec</v>
      </c>
      <c r="D1060" t="s">
        <v>444</v>
      </c>
      <c r="E1060" t="s">
        <v>25</v>
      </c>
      <c r="F1060" t="s">
        <v>83</v>
      </c>
      <c r="G1060" t="s">
        <v>112</v>
      </c>
      <c r="H1060">
        <v>1</v>
      </c>
      <c r="I1060">
        <v>2954</v>
      </c>
      <c r="J1060">
        <v>2954</v>
      </c>
    </row>
    <row r="1061" spans="1:10" x14ac:dyDescent="0.3">
      <c r="A1061">
        <v>1221</v>
      </c>
      <c r="B1061" t="s">
        <v>601</v>
      </c>
      <c r="C1061" t="str">
        <f>TEXT(Sales[[#This Row],[Order_Date]],"mmm")</f>
        <v>Jan</v>
      </c>
      <c r="D1061" t="s">
        <v>162</v>
      </c>
      <c r="E1061" t="s">
        <v>25</v>
      </c>
      <c r="F1061" t="s">
        <v>136</v>
      </c>
      <c r="G1061" t="s">
        <v>46</v>
      </c>
      <c r="H1061">
        <v>5</v>
      </c>
      <c r="I1061">
        <v>3379</v>
      </c>
      <c r="J1061">
        <v>16895</v>
      </c>
    </row>
    <row r="1062" spans="1:10" x14ac:dyDescent="0.3">
      <c r="A1062">
        <v>1294</v>
      </c>
      <c r="B1062" t="s">
        <v>376</v>
      </c>
      <c r="C1062" t="str">
        <f>TEXT(Sales[[#This Row],[Order_Date]],"mmm")</f>
        <v>Sep</v>
      </c>
      <c r="D1062" t="s">
        <v>301</v>
      </c>
      <c r="E1062" t="s">
        <v>11</v>
      </c>
      <c r="F1062" t="s">
        <v>136</v>
      </c>
      <c r="G1062" t="s">
        <v>67</v>
      </c>
      <c r="H1062">
        <v>4</v>
      </c>
      <c r="I1062">
        <v>4028</v>
      </c>
      <c r="J1062">
        <v>16112</v>
      </c>
    </row>
    <row r="1063" spans="1:10" x14ac:dyDescent="0.3">
      <c r="A1063">
        <v>1135</v>
      </c>
      <c r="B1063" t="s">
        <v>471</v>
      </c>
      <c r="C1063" t="str">
        <f>TEXT(Sales[[#This Row],[Order_Date]],"mmm")</f>
        <v>Jan</v>
      </c>
      <c r="D1063" t="s">
        <v>436</v>
      </c>
      <c r="E1063" t="s">
        <v>42</v>
      </c>
      <c r="F1063" t="s">
        <v>89</v>
      </c>
      <c r="G1063" t="s">
        <v>27</v>
      </c>
      <c r="H1063">
        <v>3</v>
      </c>
      <c r="I1063">
        <v>4878</v>
      </c>
      <c r="J1063">
        <v>14634</v>
      </c>
    </row>
    <row r="1064" spans="1:10" x14ac:dyDescent="0.3">
      <c r="A1064">
        <v>1370</v>
      </c>
      <c r="B1064" t="s">
        <v>569</v>
      </c>
      <c r="C1064" t="str">
        <f>TEXT(Sales[[#This Row],[Order_Date]],"mmm")</f>
        <v>May</v>
      </c>
      <c r="D1064" t="s">
        <v>66</v>
      </c>
      <c r="E1064" t="s">
        <v>25</v>
      </c>
      <c r="F1064" t="s">
        <v>89</v>
      </c>
      <c r="G1064" t="s">
        <v>133</v>
      </c>
      <c r="H1064">
        <v>3</v>
      </c>
      <c r="I1064">
        <v>4856</v>
      </c>
      <c r="J1064">
        <v>14568</v>
      </c>
    </row>
    <row r="1065" spans="1:10" x14ac:dyDescent="0.3">
      <c r="A1065">
        <v>1183</v>
      </c>
      <c r="B1065" t="s">
        <v>217</v>
      </c>
      <c r="C1065" t="str">
        <f>TEXT(Sales[[#This Row],[Order_Date]],"mmm")</f>
        <v>Aug</v>
      </c>
      <c r="D1065" t="s">
        <v>301</v>
      </c>
      <c r="E1065" t="s">
        <v>16</v>
      </c>
      <c r="F1065" t="s">
        <v>83</v>
      </c>
      <c r="G1065" t="s">
        <v>78</v>
      </c>
      <c r="H1065">
        <v>1</v>
      </c>
      <c r="I1065">
        <v>3138</v>
      </c>
      <c r="J1065">
        <v>3138</v>
      </c>
    </row>
    <row r="1066" spans="1:10" x14ac:dyDescent="0.3">
      <c r="A1066">
        <v>1223</v>
      </c>
      <c r="B1066" t="s">
        <v>630</v>
      </c>
      <c r="C1066" t="str">
        <f>TEXT(Sales[[#This Row],[Order_Date]],"mmm")</f>
        <v>Jul</v>
      </c>
      <c r="D1066" t="s">
        <v>64</v>
      </c>
      <c r="E1066" t="s">
        <v>25</v>
      </c>
      <c r="F1066" t="s">
        <v>83</v>
      </c>
      <c r="G1066" t="s">
        <v>112</v>
      </c>
      <c r="H1066">
        <v>4</v>
      </c>
      <c r="I1066">
        <v>1672</v>
      </c>
      <c r="J1066">
        <v>6688</v>
      </c>
    </row>
    <row r="1067" spans="1:10" x14ac:dyDescent="0.3">
      <c r="A1067">
        <v>1265</v>
      </c>
      <c r="B1067" t="s">
        <v>334</v>
      </c>
      <c r="C1067" t="str">
        <f>TEXT(Sales[[#This Row],[Order_Date]],"mmm")</f>
        <v>Sep</v>
      </c>
      <c r="D1067" t="s">
        <v>311</v>
      </c>
      <c r="E1067" t="s">
        <v>42</v>
      </c>
      <c r="F1067" t="s">
        <v>17</v>
      </c>
      <c r="G1067" t="s">
        <v>114</v>
      </c>
      <c r="H1067">
        <v>2</v>
      </c>
      <c r="I1067">
        <v>1137</v>
      </c>
      <c r="J1067">
        <v>2274</v>
      </c>
    </row>
    <row r="1068" spans="1:10" x14ac:dyDescent="0.3">
      <c r="A1068">
        <v>1518</v>
      </c>
      <c r="B1068" t="s">
        <v>411</v>
      </c>
      <c r="C1068" t="str">
        <f>TEXT(Sales[[#This Row],[Order_Date]],"mmm")</f>
        <v>Aug</v>
      </c>
      <c r="D1068" t="s">
        <v>159</v>
      </c>
      <c r="E1068" t="s">
        <v>42</v>
      </c>
      <c r="F1068" t="s">
        <v>89</v>
      </c>
      <c r="G1068" t="s">
        <v>657</v>
      </c>
      <c r="H1068">
        <v>3</v>
      </c>
      <c r="I1068">
        <v>2308</v>
      </c>
      <c r="J1068">
        <v>6924</v>
      </c>
    </row>
    <row r="1069" spans="1:10" x14ac:dyDescent="0.3">
      <c r="A1069">
        <v>1361</v>
      </c>
      <c r="B1069" t="s">
        <v>506</v>
      </c>
      <c r="C1069" t="str">
        <f>TEXT(Sales[[#This Row],[Order_Date]],"mmm")</f>
        <v>Oct</v>
      </c>
      <c r="D1069" t="s">
        <v>308</v>
      </c>
      <c r="E1069" t="s">
        <v>25</v>
      </c>
      <c r="F1069" t="s">
        <v>83</v>
      </c>
      <c r="G1069" t="s">
        <v>57</v>
      </c>
      <c r="H1069">
        <v>1</v>
      </c>
      <c r="I1069">
        <v>834</v>
      </c>
      <c r="J1069">
        <v>834</v>
      </c>
    </row>
    <row r="1070" spans="1:10" x14ac:dyDescent="0.3">
      <c r="A1070">
        <v>1079</v>
      </c>
      <c r="B1070" t="s">
        <v>451</v>
      </c>
      <c r="C1070" t="str">
        <f>TEXT(Sales[[#This Row],[Order_Date]],"mmm")</f>
        <v>May</v>
      </c>
      <c r="D1070" t="s">
        <v>236</v>
      </c>
      <c r="E1070" t="s">
        <v>11</v>
      </c>
      <c r="F1070" t="s">
        <v>89</v>
      </c>
      <c r="G1070" t="s">
        <v>133</v>
      </c>
      <c r="H1070">
        <v>1</v>
      </c>
      <c r="I1070">
        <v>3693</v>
      </c>
      <c r="J1070">
        <v>3693</v>
      </c>
    </row>
    <row r="1071" spans="1:10" x14ac:dyDescent="0.3">
      <c r="A1071">
        <v>1334</v>
      </c>
      <c r="B1071" t="s">
        <v>129</v>
      </c>
      <c r="C1071" t="str">
        <f>TEXT(Sales[[#This Row],[Order_Date]],"mmm")</f>
        <v>Nov</v>
      </c>
      <c r="D1071" t="s">
        <v>187</v>
      </c>
      <c r="E1071" t="s">
        <v>25</v>
      </c>
      <c r="F1071" t="s">
        <v>89</v>
      </c>
      <c r="G1071" t="s">
        <v>95</v>
      </c>
      <c r="H1071">
        <v>4</v>
      </c>
      <c r="I1071">
        <v>2608</v>
      </c>
      <c r="J1071">
        <v>10432</v>
      </c>
    </row>
    <row r="1072" spans="1:10" x14ac:dyDescent="0.3">
      <c r="A1072">
        <v>1045</v>
      </c>
      <c r="B1072" t="s">
        <v>261</v>
      </c>
      <c r="C1072" t="str">
        <f>TEXT(Sales[[#This Row],[Order_Date]],"mmm")</f>
        <v>May</v>
      </c>
      <c r="D1072" t="s">
        <v>645</v>
      </c>
      <c r="E1072" t="s">
        <v>25</v>
      </c>
      <c r="F1072" t="s">
        <v>17</v>
      </c>
      <c r="G1072" t="s">
        <v>18</v>
      </c>
      <c r="H1072">
        <v>5</v>
      </c>
      <c r="I1072">
        <v>1932</v>
      </c>
      <c r="J1072">
        <v>9660</v>
      </c>
    </row>
    <row r="1073" spans="1:10" x14ac:dyDescent="0.3">
      <c r="A1073">
        <v>1520</v>
      </c>
      <c r="B1073" t="s">
        <v>650</v>
      </c>
      <c r="C1073" t="str">
        <f>TEXT(Sales[[#This Row],[Order_Date]],"mmm")</f>
        <v>Oct</v>
      </c>
      <c r="D1073" t="s">
        <v>289</v>
      </c>
      <c r="E1073" t="s">
        <v>42</v>
      </c>
      <c r="F1073" t="s">
        <v>89</v>
      </c>
      <c r="G1073" t="s">
        <v>13</v>
      </c>
      <c r="H1073">
        <v>2</v>
      </c>
      <c r="I1073">
        <v>3321</v>
      </c>
      <c r="J1073">
        <v>6642</v>
      </c>
    </row>
    <row r="1074" spans="1:10" x14ac:dyDescent="0.3">
      <c r="A1074">
        <v>1079</v>
      </c>
      <c r="B1074" t="s">
        <v>155</v>
      </c>
      <c r="C1074" t="str">
        <f>TEXT(Sales[[#This Row],[Order_Date]],"mmm")</f>
        <v>Apr</v>
      </c>
      <c r="D1074" t="s">
        <v>222</v>
      </c>
      <c r="E1074" t="s">
        <v>42</v>
      </c>
      <c r="F1074" t="s">
        <v>136</v>
      </c>
      <c r="G1074" t="s">
        <v>67</v>
      </c>
      <c r="H1074">
        <v>5</v>
      </c>
      <c r="I1074">
        <v>4069</v>
      </c>
      <c r="J1074">
        <v>20345</v>
      </c>
    </row>
    <row r="1075" spans="1:10" x14ac:dyDescent="0.3">
      <c r="A1075">
        <v>1324</v>
      </c>
      <c r="B1075" t="s">
        <v>569</v>
      </c>
      <c r="C1075" t="str">
        <f>TEXT(Sales[[#This Row],[Order_Date]],"mmm")</f>
        <v>May</v>
      </c>
      <c r="D1075" t="s">
        <v>29</v>
      </c>
      <c r="E1075" t="s">
        <v>16</v>
      </c>
      <c r="F1075" t="s">
        <v>89</v>
      </c>
      <c r="G1075" t="s">
        <v>13</v>
      </c>
      <c r="H1075">
        <v>3</v>
      </c>
      <c r="I1075">
        <v>2091</v>
      </c>
      <c r="J1075">
        <v>6273</v>
      </c>
    </row>
    <row r="1076" spans="1:10" x14ac:dyDescent="0.3">
      <c r="A1076">
        <v>1118</v>
      </c>
      <c r="B1076" t="s">
        <v>283</v>
      </c>
      <c r="C1076" t="str">
        <f>TEXT(Sales[[#This Row],[Order_Date]],"mmm")</f>
        <v>Dec</v>
      </c>
      <c r="D1076" t="s">
        <v>331</v>
      </c>
      <c r="E1076" t="s">
        <v>25</v>
      </c>
      <c r="F1076" t="s">
        <v>136</v>
      </c>
      <c r="G1076" t="s">
        <v>46</v>
      </c>
      <c r="H1076">
        <v>3</v>
      </c>
      <c r="I1076">
        <v>4791</v>
      </c>
      <c r="J1076">
        <v>14373</v>
      </c>
    </row>
    <row r="1077" spans="1:10" x14ac:dyDescent="0.3">
      <c r="A1077">
        <v>1495</v>
      </c>
      <c r="B1077" t="s">
        <v>104</v>
      </c>
      <c r="C1077" t="str">
        <f>TEXT(Sales[[#This Row],[Order_Date]],"mmm")</f>
        <v>Nov</v>
      </c>
      <c r="D1077" t="s">
        <v>457</v>
      </c>
      <c r="E1077" t="s">
        <v>11</v>
      </c>
      <c r="F1077" t="s">
        <v>136</v>
      </c>
      <c r="G1077" t="s">
        <v>46</v>
      </c>
      <c r="H1077">
        <v>5</v>
      </c>
      <c r="I1077">
        <v>2206</v>
      </c>
      <c r="J1077">
        <v>11030</v>
      </c>
    </row>
    <row r="1078" spans="1:10" x14ac:dyDescent="0.3">
      <c r="A1078">
        <v>1598</v>
      </c>
      <c r="B1078" t="s">
        <v>633</v>
      </c>
      <c r="C1078" t="str">
        <f>TEXT(Sales[[#This Row],[Order_Date]],"mmm")</f>
        <v>Dec</v>
      </c>
      <c r="D1078" t="s">
        <v>146</v>
      </c>
      <c r="E1078" t="s">
        <v>25</v>
      </c>
      <c r="F1078" t="s">
        <v>89</v>
      </c>
      <c r="G1078" t="s">
        <v>95</v>
      </c>
      <c r="H1078">
        <v>1</v>
      </c>
      <c r="I1078">
        <v>867</v>
      </c>
      <c r="J1078">
        <v>867</v>
      </c>
    </row>
    <row r="1079" spans="1:10" x14ac:dyDescent="0.3">
      <c r="A1079">
        <v>1151</v>
      </c>
      <c r="B1079" t="s">
        <v>520</v>
      </c>
      <c r="C1079" t="str">
        <f>TEXT(Sales[[#This Row],[Order_Date]],"mmm")</f>
        <v>Oct</v>
      </c>
      <c r="D1079" t="s">
        <v>269</v>
      </c>
      <c r="E1079" t="s">
        <v>42</v>
      </c>
      <c r="F1079" t="s">
        <v>17</v>
      </c>
      <c r="G1079" t="s">
        <v>114</v>
      </c>
      <c r="H1079">
        <v>2</v>
      </c>
      <c r="I1079">
        <v>1189</v>
      </c>
      <c r="J1079">
        <v>2378</v>
      </c>
    </row>
    <row r="1080" spans="1:10" x14ac:dyDescent="0.3">
      <c r="A1080">
        <v>1481</v>
      </c>
      <c r="B1080" t="s">
        <v>211</v>
      </c>
      <c r="C1080" t="str">
        <f>TEXT(Sales[[#This Row],[Order_Date]],"mmm")</f>
        <v>Feb</v>
      </c>
      <c r="D1080" t="s">
        <v>311</v>
      </c>
      <c r="E1080" t="s">
        <v>11</v>
      </c>
      <c r="F1080" t="s">
        <v>83</v>
      </c>
      <c r="G1080" t="s">
        <v>78</v>
      </c>
      <c r="H1080">
        <v>1</v>
      </c>
      <c r="I1080">
        <v>1284</v>
      </c>
      <c r="J1080">
        <v>1284</v>
      </c>
    </row>
    <row r="1081" spans="1:10" x14ac:dyDescent="0.3">
      <c r="A1081">
        <v>1397</v>
      </c>
      <c r="B1081" t="s">
        <v>466</v>
      </c>
      <c r="C1081" t="str">
        <f>TEXT(Sales[[#This Row],[Order_Date]],"mmm")</f>
        <v>Aug</v>
      </c>
      <c r="D1081" t="s">
        <v>167</v>
      </c>
      <c r="E1081" t="s">
        <v>42</v>
      </c>
      <c r="F1081" t="s">
        <v>17</v>
      </c>
      <c r="G1081" t="s">
        <v>53</v>
      </c>
      <c r="H1081">
        <v>1</v>
      </c>
      <c r="I1081">
        <v>2959</v>
      </c>
      <c r="J1081">
        <v>2959</v>
      </c>
    </row>
    <row r="1082" spans="1:10" x14ac:dyDescent="0.3">
      <c r="A1082">
        <v>1110</v>
      </c>
      <c r="B1082" t="s">
        <v>134</v>
      </c>
      <c r="C1082" t="str">
        <f>TEXT(Sales[[#This Row],[Order_Date]],"mmm")</f>
        <v>Jan</v>
      </c>
      <c r="D1082" t="s">
        <v>397</v>
      </c>
      <c r="E1082" t="s">
        <v>16</v>
      </c>
      <c r="F1082" t="s">
        <v>89</v>
      </c>
      <c r="G1082" t="s">
        <v>75</v>
      </c>
      <c r="H1082">
        <v>4</v>
      </c>
      <c r="I1082">
        <v>2569</v>
      </c>
      <c r="J1082">
        <v>10276</v>
      </c>
    </row>
    <row r="1083" spans="1:10" x14ac:dyDescent="0.3">
      <c r="A1083">
        <v>1187</v>
      </c>
      <c r="B1083" t="s">
        <v>174</v>
      </c>
      <c r="C1083" t="str">
        <f>TEXT(Sales[[#This Row],[Order_Date]],"mmm")</f>
        <v>Oct</v>
      </c>
      <c r="D1083" t="s">
        <v>316</v>
      </c>
      <c r="E1083" t="s">
        <v>25</v>
      </c>
      <c r="F1083" t="s">
        <v>83</v>
      </c>
      <c r="G1083" t="s">
        <v>93</v>
      </c>
      <c r="H1083">
        <v>4</v>
      </c>
      <c r="I1083">
        <v>3307</v>
      </c>
      <c r="J1083">
        <v>13228</v>
      </c>
    </row>
    <row r="1084" spans="1:10" x14ac:dyDescent="0.3">
      <c r="A1084">
        <v>1286</v>
      </c>
      <c r="B1084" t="s">
        <v>591</v>
      </c>
      <c r="C1084" t="str">
        <f>TEXT(Sales[[#This Row],[Order_Date]],"mmm")</f>
        <v>Feb</v>
      </c>
      <c r="D1084" t="s">
        <v>173</v>
      </c>
      <c r="E1084" t="s">
        <v>42</v>
      </c>
      <c r="F1084" t="s">
        <v>89</v>
      </c>
      <c r="G1084" t="s">
        <v>75</v>
      </c>
      <c r="H1084">
        <v>5</v>
      </c>
      <c r="I1084">
        <v>4440</v>
      </c>
      <c r="J1084">
        <v>22200</v>
      </c>
    </row>
    <row r="1085" spans="1:10" x14ac:dyDescent="0.3">
      <c r="A1085">
        <v>1436</v>
      </c>
      <c r="B1085" t="s">
        <v>585</v>
      </c>
      <c r="C1085" t="str">
        <f>TEXT(Sales[[#This Row],[Order_Date]],"mmm")</f>
        <v>May</v>
      </c>
      <c r="D1085" t="s">
        <v>239</v>
      </c>
      <c r="E1085" t="s">
        <v>11</v>
      </c>
      <c r="F1085" t="s">
        <v>136</v>
      </c>
      <c r="G1085" t="s">
        <v>22</v>
      </c>
      <c r="H1085">
        <v>1</v>
      </c>
      <c r="I1085">
        <v>1925</v>
      </c>
      <c r="J1085">
        <v>1925</v>
      </c>
    </row>
    <row r="1086" spans="1:10" x14ac:dyDescent="0.3">
      <c r="A1086">
        <v>1321</v>
      </c>
      <c r="B1086" t="s">
        <v>515</v>
      </c>
      <c r="C1086" t="str">
        <f>TEXT(Sales[[#This Row],[Order_Date]],"mmm")</f>
        <v>Feb</v>
      </c>
      <c r="D1086" t="s">
        <v>452</v>
      </c>
      <c r="E1086" t="s">
        <v>42</v>
      </c>
      <c r="F1086" t="s">
        <v>89</v>
      </c>
      <c r="G1086" t="s">
        <v>13</v>
      </c>
      <c r="H1086">
        <v>3</v>
      </c>
      <c r="I1086">
        <v>4186</v>
      </c>
      <c r="J1086">
        <v>12558</v>
      </c>
    </row>
    <row r="1087" spans="1:10" x14ac:dyDescent="0.3">
      <c r="A1087">
        <v>1295</v>
      </c>
      <c r="B1087" t="s">
        <v>428</v>
      </c>
      <c r="C1087" t="str">
        <f>TEXT(Sales[[#This Row],[Order_Date]],"mmm")</f>
        <v>May</v>
      </c>
      <c r="D1087" t="s">
        <v>201</v>
      </c>
      <c r="E1087" t="s">
        <v>11</v>
      </c>
      <c r="F1087" t="s">
        <v>83</v>
      </c>
      <c r="G1087" t="s">
        <v>93</v>
      </c>
      <c r="H1087">
        <v>1</v>
      </c>
      <c r="I1087">
        <v>1894</v>
      </c>
      <c r="J1087">
        <v>1894</v>
      </c>
    </row>
    <row r="1088" spans="1:10" x14ac:dyDescent="0.3">
      <c r="A1088">
        <v>1172</v>
      </c>
      <c r="B1088" t="s">
        <v>601</v>
      </c>
      <c r="C1088" t="str">
        <f>TEXT(Sales[[#This Row],[Order_Date]],"mmm")</f>
        <v>Jan</v>
      </c>
      <c r="D1088" t="s">
        <v>256</v>
      </c>
      <c r="E1088" t="s">
        <v>42</v>
      </c>
      <c r="F1088" t="s">
        <v>83</v>
      </c>
      <c r="G1088" t="s">
        <v>57</v>
      </c>
      <c r="H1088">
        <v>4</v>
      </c>
      <c r="I1088">
        <v>411</v>
      </c>
      <c r="J1088">
        <v>1644</v>
      </c>
    </row>
    <row r="1089" spans="1:10" x14ac:dyDescent="0.3">
      <c r="A1089">
        <v>1584</v>
      </c>
      <c r="B1089" t="s">
        <v>556</v>
      </c>
      <c r="C1089" t="str">
        <f>TEXT(Sales[[#This Row],[Order_Date]],"mmm")</f>
        <v>Aug</v>
      </c>
      <c r="D1089" t="s">
        <v>539</v>
      </c>
      <c r="E1089" t="s">
        <v>16</v>
      </c>
      <c r="F1089" t="s">
        <v>136</v>
      </c>
      <c r="G1089" t="s">
        <v>67</v>
      </c>
      <c r="H1089">
        <v>3</v>
      </c>
      <c r="I1089">
        <v>1097</v>
      </c>
      <c r="J1089">
        <v>3291</v>
      </c>
    </row>
    <row r="1090" spans="1:10" x14ac:dyDescent="0.3">
      <c r="A1090">
        <v>1122</v>
      </c>
      <c r="B1090" t="s">
        <v>217</v>
      </c>
      <c r="C1090" t="str">
        <f>TEXT(Sales[[#This Row],[Order_Date]],"mmm")</f>
        <v>Aug</v>
      </c>
      <c r="D1090" t="s">
        <v>612</v>
      </c>
      <c r="E1090" t="s">
        <v>25</v>
      </c>
      <c r="F1090" t="s">
        <v>136</v>
      </c>
      <c r="G1090" t="s">
        <v>46</v>
      </c>
      <c r="H1090">
        <v>2</v>
      </c>
      <c r="I1090">
        <v>2481</v>
      </c>
      <c r="J1090">
        <v>4962</v>
      </c>
    </row>
    <row r="1091" spans="1:10" x14ac:dyDescent="0.3">
      <c r="A1091">
        <v>1362</v>
      </c>
      <c r="B1091" t="s">
        <v>458</v>
      </c>
      <c r="C1091" t="str">
        <f>TEXT(Sales[[#This Row],[Order_Date]],"mmm")</f>
        <v>Feb</v>
      </c>
      <c r="D1091" t="s">
        <v>210</v>
      </c>
      <c r="E1091" t="s">
        <v>11</v>
      </c>
      <c r="F1091" t="s">
        <v>17</v>
      </c>
      <c r="G1091" t="s">
        <v>72</v>
      </c>
      <c r="H1091">
        <v>5</v>
      </c>
      <c r="I1091">
        <v>2947</v>
      </c>
      <c r="J1091">
        <v>14735</v>
      </c>
    </row>
    <row r="1092" spans="1:10" x14ac:dyDescent="0.3">
      <c r="A1092">
        <v>1525</v>
      </c>
      <c r="B1092" t="s">
        <v>651</v>
      </c>
      <c r="C1092" t="str">
        <f>TEXT(Sales[[#This Row],[Order_Date]],"mmm")</f>
        <v>Dec</v>
      </c>
      <c r="D1092" t="s">
        <v>646</v>
      </c>
      <c r="E1092" t="s">
        <v>11</v>
      </c>
      <c r="F1092" t="s">
        <v>83</v>
      </c>
      <c r="G1092" t="s">
        <v>112</v>
      </c>
      <c r="H1092">
        <v>1</v>
      </c>
      <c r="I1092">
        <v>4470</v>
      </c>
      <c r="J1092">
        <v>4470</v>
      </c>
    </row>
    <row r="1093" spans="1:10" x14ac:dyDescent="0.3">
      <c r="A1093">
        <v>1036</v>
      </c>
      <c r="B1093" t="s">
        <v>509</v>
      </c>
      <c r="C1093" t="str">
        <f>TEXT(Sales[[#This Row],[Order_Date]],"mmm")</f>
        <v>Nov</v>
      </c>
      <c r="D1093" t="s">
        <v>51</v>
      </c>
      <c r="E1093" t="s">
        <v>11</v>
      </c>
      <c r="F1093" t="s">
        <v>83</v>
      </c>
      <c r="G1093" t="s">
        <v>93</v>
      </c>
      <c r="H1093">
        <v>2</v>
      </c>
      <c r="I1093">
        <v>1802</v>
      </c>
      <c r="J1093">
        <v>3604</v>
      </c>
    </row>
    <row r="1094" spans="1:10" x14ac:dyDescent="0.3">
      <c r="A1094">
        <v>1191</v>
      </c>
      <c r="B1094" t="s">
        <v>578</v>
      </c>
      <c r="C1094" t="str">
        <f>TEXT(Sales[[#This Row],[Order_Date]],"mmm")</f>
        <v>Sep</v>
      </c>
      <c r="D1094" t="s">
        <v>647</v>
      </c>
      <c r="E1094" t="s">
        <v>16</v>
      </c>
      <c r="F1094" t="s">
        <v>17</v>
      </c>
      <c r="G1094" t="s">
        <v>114</v>
      </c>
      <c r="H1094">
        <v>1</v>
      </c>
      <c r="I1094">
        <v>3757</v>
      </c>
      <c r="J1094">
        <v>3757</v>
      </c>
    </row>
    <row r="1095" spans="1:10" x14ac:dyDescent="0.3">
      <c r="A1095">
        <v>1213</v>
      </c>
      <c r="B1095" t="s">
        <v>325</v>
      </c>
      <c r="C1095" t="str">
        <f>TEXT(Sales[[#This Row],[Order_Date]],"mmm")</f>
        <v>Dec</v>
      </c>
      <c r="D1095" t="s">
        <v>164</v>
      </c>
      <c r="E1095" t="s">
        <v>11</v>
      </c>
      <c r="F1095" t="s">
        <v>83</v>
      </c>
      <c r="G1095" t="s">
        <v>78</v>
      </c>
      <c r="H1095">
        <v>5</v>
      </c>
      <c r="I1095">
        <v>2122</v>
      </c>
      <c r="J1095">
        <v>10610</v>
      </c>
    </row>
    <row r="1096" spans="1:10" x14ac:dyDescent="0.3">
      <c r="A1096">
        <v>1184</v>
      </c>
      <c r="B1096" t="s">
        <v>373</v>
      </c>
      <c r="C1096" t="str">
        <f>TEXT(Sales[[#This Row],[Order_Date]],"mmm")</f>
        <v>Jun</v>
      </c>
      <c r="D1096" t="s">
        <v>557</v>
      </c>
      <c r="E1096" t="s">
        <v>16</v>
      </c>
      <c r="F1096" t="s">
        <v>17</v>
      </c>
      <c r="G1096" t="s">
        <v>101</v>
      </c>
      <c r="H1096">
        <v>4</v>
      </c>
      <c r="I1096">
        <v>3125</v>
      </c>
      <c r="J1096">
        <v>12500</v>
      </c>
    </row>
    <row r="1097" spans="1:10" x14ac:dyDescent="0.3">
      <c r="A1097">
        <v>1224</v>
      </c>
      <c r="B1097" t="s">
        <v>480</v>
      </c>
      <c r="C1097" t="str">
        <f>TEXT(Sales[[#This Row],[Order_Date]],"mmm")</f>
        <v>Feb</v>
      </c>
      <c r="D1097" t="s">
        <v>386</v>
      </c>
      <c r="E1097" t="s">
        <v>25</v>
      </c>
      <c r="F1097" t="s">
        <v>89</v>
      </c>
      <c r="G1097" t="s">
        <v>75</v>
      </c>
      <c r="H1097">
        <v>2</v>
      </c>
      <c r="I1097">
        <v>3680</v>
      </c>
      <c r="J1097">
        <v>7360</v>
      </c>
    </row>
    <row r="1098" spans="1:10" x14ac:dyDescent="0.3">
      <c r="A1098">
        <v>1326</v>
      </c>
      <c r="B1098" t="s">
        <v>468</v>
      </c>
      <c r="C1098" t="str">
        <f>TEXT(Sales[[#This Row],[Order_Date]],"mmm")</f>
        <v>Dec</v>
      </c>
      <c r="D1098" t="s">
        <v>157</v>
      </c>
      <c r="E1098" t="s">
        <v>16</v>
      </c>
      <c r="F1098" t="s">
        <v>89</v>
      </c>
      <c r="G1098" t="s">
        <v>75</v>
      </c>
      <c r="H1098">
        <v>4</v>
      </c>
      <c r="I1098">
        <v>3575</v>
      </c>
      <c r="J1098">
        <v>14300</v>
      </c>
    </row>
    <row r="1099" spans="1:10" x14ac:dyDescent="0.3">
      <c r="A1099">
        <v>1274</v>
      </c>
      <c r="B1099" t="s">
        <v>205</v>
      </c>
      <c r="C1099" t="str">
        <f>TEXT(Sales[[#This Row],[Order_Date]],"mmm")</f>
        <v>Sep</v>
      </c>
      <c r="D1099" t="s">
        <v>15</v>
      </c>
      <c r="E1099" t="s">
        <v>42</v>
      </c>
      <c r="F1099" t="s">
        <v>136</v>
      </c>
      <c r="G1099" t="s">
        <v>124</v>
      </c>
      <c r="H1099">
        <v>3</v>
      </c>
      <c r="I1099">
        <v>3568</v>
      </c>
      <c r="J1099">
        <v>10704</v>
      </c>
    </row>
    <row r="1100" spans="1:10" x14ac:dyDescent="0.3">
      <c r="A1100">
        <v>1408</v>
      </c>
      <c r="B1100" t="s">
        <v>377</v>
      </c>
      <c r="C1100" t="str">
        <f>TEXT(Sales[[#This Row],[Order_Date]],"mmm")</f>
        <v>May</v>
      </c>
      <c r="D1100" t="s">
        <v>228</v>
      </c>
      <c r="E1100" t="s">
        <v>16</v>
      </c>
      <c r="F1100" t="s">
        <v>83</v>
      </c>
      <c r="G1100" t="s">
        <v>112</v>
      </c>
      <c r="H1100">
        <v>3</v>
      </c>
      <c r="I1100">
        <v>573</v>
      </c>
      <c r="J1100">
        <v>1719</v>
      </c>
    </row>
    <row r="1101" spans="1:10" x14ac:dyDescent="0.3">
      <c r="A1101">
        <v>1586</v>
      </c>
      <c r="B1101" t="s">
        <v>84</v>
      </c>
      <c r="C1101" t="str">
        <f>TEXT(Sales[[#This Row],[Order_Date]],"mmm")</f>
        <v>Mar</v>
      </c>
      <c r="D1101" t="s">
        <v>365</v>
      </c>
      <c r="E1101" t="s">
        <v>11</v>
      </c>
      <c r="F1101" t="s">
        <v>17</v>
      </c>
      <c r="G1101" t="s">
        <v>657</v>
      </c>
      <c r="H1101">
        <v>5</v>
      </c>
      <c r="I1101">
        <v>4621</v>
      </c>
      <c r="J1101">
        <v>23105</v>
      </c>
    </row>
    <row r="1102" spans="1:10" x14ac:dyDescent="0.3">
      <c r="A1102">
        <v>1388</v>
      </c>
      <c r="B1102" t="s">
        <v>290</v>
      </c>
      <c r="C1102" t="str">
        <f>TEXT(Sales[[#This Row],[Order_Date]],"mmm")</f>
        <v>Feb</v>
      </c>
      <c r="D1102" t="s">
        <v>241</v>
      </c>
      <c r="E1102" t="s">
        <v>42</v>
      </c>
      <c r="F1102" t="s">
        <v>89</v>
      </c>
      <c r="G1102" t="s">
        <v>95</v>
      </c>
      <c r="H1102">
        <v>5</v>
      </c>
      <c r="I1102">
        <v>1924</v>
      </c>
      <c r="J1102">
        <v>9620</v>
      </c>
    </row>
    <row r="1103" spans="1:10" x14ac:dyDescent="0.3">
      <c r="A1103">
        <v>1160</v>
      </c>
      <c r="B1103" t="s">
        <v>652</v>
      </c>
      <c r="C1103" t="str">
        <f>TEXT(Sales[[#This Row],[Order_Date]],"mmm")</f>
        <v>Oct</v>
      </c>
      <c r="D1103" t="s">
        <v>260</v>
      </c>
      <c r="E1103" t="s">
        <v>25</v>
      </c>
      <c r="F1103" t="s">
        <v>17</v>
      </c>
      <c r="G1103" t="s">
        <v>101</v>
      </c>
      <c r="H1103">
        <v>3</v>
      </c>
      <c r="I1103">
        <v>3586</v>
      </c>
      <c r="J1103">
        <v>10758</v>
      </c>
    </row>
    <row r="1104" spans="1:10" x14ac:dyDescent="0.3">
      <c r="A1104">
        <v>1013</v>
      </c>
      <c r="B1104" t="s">
        <v>597</v>
      </c>
      <c r="C1104" t="str">
        <f>TEXT(Sales[[#This Row],[Order_Date]],"mmm")</f>
        <v>Jan</v>
      </c>
      <c r="D1104" t="s">
        <v>263</v>
      </c>
      <c r="E1104" t="s">
        <v>11</v>
      </c>
      <c r="F1104" t="s">
        <v>83</v>
      </c>
      <c r="G1104" t="s">
        <v>57</v>
      </c>
      <c r="H1104">
        <v>4</v>
      </c>
      <c r="I1104">
        <v>546</v>
      </c>
      <c r="J1104">
        <v>2184</v>
      </c>
    </row>
    <row r="1105" spans="1:10" x14ac:dyDescent="0.3">
      <c r="A1105">
        <v>1235</v>
      </c>
      <c r="B1105" t="s">
        <v>603</v>
      </c>
      <c r="C1105" t="str">
        <f>TEXT(Sales[[#This Row],[Order_Date]],"mmm")</f>
        <v>Nov</v>
      </c>
      <c r="D1105" t="s">
        <v>284</v>
      </c>
      <c r="E1105" t="s">
        <v>25</v>
      </c>
      <c r="F1105" t="s">
        <v>17</v>
      </c>
      <c r="G1105" t="s">
        <v>72</v>
      </c>
      <c r="H1105">
        <v>4</v>
      </c>
      <c r="I1105">
        <v>3482</v>
      </c>
      <c r="J1105">
        <v>13928</v>
      </c>
    </row>
    <row r="1106" spans="1:10" x14ac:dyDescent="0.3">
      <c r="A1106">
        <v>1276</v>
      </c>
      <c r="B1106" t="s">
        <v>649</v>
      </c>
      <c r="C1106" t="str">
        <f>TEXT(Sales[[#This Row],[Order_Date]],"mmm")</f>
        <v>Feb</v>
      </c>
      <c r="D1106" t="s">
        <v>623</v>
      </c>
      <c r="E1106" t="s">
        <v>42</v>
      </c>
      <c r="F1106" t="s">
        <v>83</v>
      </c>
      <c r="G1106" t="s">
        <v>57</v>
      </c>
      <c r="H1106">
        <v>1</v>
      </c>
      <c r="I1106">
        <v>4637</v>
      </c>
      <c r="J1106">
        <v>4637</v>
      </c>
    </row>
    <row r="1107" spans="1:10" x14ac:dyDescent="0.3">
      <c r="A1107">
        <v>1400</v>
      </c>
      <c r="B1107" t="s">
        <v>559</v>
      </c>
      <c r="C1107" t="str">
        <f>TEXT(Sales[[#This Row],[Order_Date]],"mmm")</f>
        <v>Apr</v>
      </c>
      <c r="D1107" t="s">
        <v>293</v>
      </c>
      <c r="E1107" t="s">
        <v>42</v>
      </c>
      <c r="F1107" t="s">
        <v>89</v>
      </c>
      <c r="G1107" t="s">
        <v>95</v>
      </c>
      <c r="H1107">
        <v>3</v>
      </c>
      <c r="I1107">
        <v>2445</v>
      </c>
      <c r="J1107">
        <v>7335</v>
      </c>
    </row>
    <row r="1108" spans="1:10" x14ac:dyDescent="0.3">
      <c r="A1108">
        <v>1590</v>
      </c>
      <c r="B1108" t="s">
        <v>605</v>
      </c>
      <c r="C1108" t="str">
        <f>TEXT(Sales[[#This Row],[Order_Date]],"mmm")</f>
        <v>Aug</v>
      </c>
      <c r="D1108" t="s">
        <v>208</v>
      </c>
      <c r="E1108" t="s">
        <v>16</v>
      </c>
      <c r="F1108" t="s">
        <v>89</v>
      </c>
      <c r="G1108" t="s">
        <v>75</v>
      </c>
      <c r="H1108">
        <v>4</v>
      </c>
      <c r="I1108">
        <v>4795</v>
      </c>
      <c r="J1108">
        <v>19180</v>
      </c>
    </row>
    <row r="1109" spans="1:10" x14ac:dyDescent="0.3">
      <c r="A1109">
        <v>1546</v>
      </c>
      <c r="B1109" t="s">
        <v>205</v>
      </c>
      <c r="C1109" t="str">
        <f>TEXT(Sales[[#This Row],[Order_Date]],"mmm")</f>
        <v>Sep</v>
      </c>
      <c r="D1109" t="s">
        <v>135</v>
      </c>
      <c r="E1109" t="s">
        <v>11</v>
      </c>
      <c r="F1109" t="s">
        <v>136</v>
      </c>
      <c r="G1109" t="s">
        <v>124</v>
      </c>
      <c r="H1109">
        <v>3</v>
      </c>
      <c r="I1109">
        <v>4677</v>
      </c>
      <c r="J1109">
        <v>14031</v>
      </c>
    </row>
    <row r="1110" spans="1:10" x14ac:dyDescent="0.3">
      <c r="A1110">
        <v>1591</v>
      </c>
      <c r="B1110" t="s">
        <v>9</v>
      </c>
      <c r="C1110" t="str">
        <f>TEXT(Sales[[#This Row],[Order_Date]],"mmm")</f>
        <v>Jan</v>
      </c>
      <c r="D1110" t="s">
        <v>260</v>
      </c>
      <c r="E1110" t="s">
        <v>16</v>
      </c>
      <c r="F1110" t="s">
        <v>17</v>
      </c>
      <c r="G1110" t="s">
        <v>53</v>
      </c>
      <c r="H1110">
        <v>5</v>
      </c>
      <c r="I1110">
        <v>1092</v>
      </c>
      <c r="J1110">
        <v>5460</v>
      </c>
    </row>
    <row r="1111" spans="1:10" x14ac:dyDescent="0.3">
      <c r="A1111">
        <v>1085</v>
      </c>
      <c r="B1111" t="s">
        <v>653</v>
      </c>
      <c r="C1111" t="str">
        <f>TEXT(Sales[[#This Row],[Order_Date]],"mmm")</f>
        <v>Feb</v>
      </c>
      <c r="D1111" t="s">
        <v>491</v>
      </c>
      <c r="E1111" t="s">
        <v>16</v>
      </c>
      <c r="F1111" t="s">
        <v>17</v>
      </c>
      <c r="G1111" t="s">
        <v>114</v>
      </c>
      <c r="H1111">
        <v>1</v>
      </c>
      <c r="I1111">
        <v>1357</v>
      </c>
      <c r="J1111">
        <v>1357</v>
      </c>
    </row>
    <row r="1112" spans="1:10" x14ac:dyDescent="0.3">
      <c r="A1112">
        <v>1535</v>
      </c>
      <c r="B1112" t="s">
        <v>654</v>
      </c>
      <c r="C1112" t="str">
        <f>TEXT(Sales[[#This Row],[Order_Date]],"mmm")</f>
        <v>Oct</v>
      </c>
      <c r="D1112" t="s">
        <v>433</v>
      </c>
      <c r="E1112" t="s">
        <v>42</v>
      </c>
      <c r="F1112" t="s">
        <v>17</v>
      </c>
      <c r="G1112" t="s">
        <v>72</v>
      </c>
      <c r="H1112">
        <v>4</v>
      </c>
      <c r="I1112">
        <v>2751</v>
      </c>
      <c r="J1112">
        <v>11004</v>
      </c>
    </row>
    <row r="1113" spans="1:10" x14ac:dyDescent="0.3">
      <c r="A1113">
        <v>1037</v>
      </c>
      <c r="B1113" t="s">
        <v>352</v>
      </c>
      <c r="C1113" t="str">
        <f>TEXT(Sales[[#This Row],[Order_Date]],"mmm")</f>
        <v>Jun</v>
      </c>
      <c r="D1113" t="s">
        <v>185</v>
      </c>
      <c r="E1113" t="s">
        <v>16</v>
      </c>
      <c r="F1113" t="s">
        <v>136</v>
      </c>
      <c r="G1113" t="s">
        <v>124</v>
      </c>
      <c r="H1113">
        <v>5</v>
      </c>
      <c r="I1113">
        <v>4203</v>
      </c>
      <c r="J1113">
        <v>21015</v>
      </c>
    </row>
    <row r="1114" spans="1:10" x14ac:dyDescent="0.3">
      <c r="A1114">
        <v>1241</v>
      </c>
      <c r="B1114" t="s">
        <v>352</v>
      </c>
      <c r="C1114" t="str">
        <f>TEXT(Sales[[#This Row],[Order_Date]],"mmm")</f>
        <v>Jun</v>
      </c>
      <c r="D1114" t="s">
        <v>301</v>
      </c>
      <c r="E1114" t="s">
        <v>25</v>
      </c>
      <c r="F1114" t="s">
        <v>136</v>
      </c>
      <c r="G1114" t="s">
        <v>67</v>
      </c>
      <c r="H1114">
        <v>4</v>
      </c>
      <c r="I1114">
        <v>834</v>
      </c>
      <c r="J1114">
        <v>3336</v>
      </c>
    </row>
    <row r="1115" spans="1:10" x14ac:dyDescent="0.3">
      <c r="A1115">
        <v>1165</v>
      </c>
      <c r="B1115" t="s">
        <v>143</v>
      </c>
      <c r="C1115" t="str">
        <f>TEXT(Sales[[#This Row],[Order_Date]],"mmm")</f>
        <v>Sep</v>
      </c>
      <c r="D1115" t="s">
        <v>88</v>
      </c>
      <c r="E1115" t="s">
        <v>16</v>
      </c>
      <c r="F1115" t="s">
        <v>83</v>
      </c>
      <c r="G1115" t="s">
        <v>93</v>
      </c>
      <c r="H1115">
        <v>1</v>
      </c>
      <c r="I1115">
        <v>519</v>
      </c>
      <c r="J1115">
        <v>519</v>
      </c>
    </row>
    <row r="1116" spans="1:10" x14ac:dyDescent="0.3">
      <c r="A1116">
        <v>1537</v>
      </c>
      <c r="B1116" t="s">
        <v>505</v>
      </c>
      <c r="C1116" t="str">
        <f>TEXT(Sales[[#This Row],[Order_Date]],"mmm")</f>
        <v>Sep</v>
      </c>
      <c r="D1116" t="s">
        <v>146</v>
      </c>
      <c r="E1116" t="s">
        <v>42</v>
      </c>
      <c r="F1116" t="s">
        <v>136</v>
      </c>
      <c r="G1116" t="s">
        <v>46</v>
      </c>
      <c r="H1116">
        <v>1</v>
      </c>
      <c r="I1116">
        <v>3767</v>
      </c>
      <c r="J1116">
        <v>3767</v>
      </c>
    </row>
    <row r="1117" spans="1:10" x14ac:dyDescent="0.3">
      <c r="A1117">
        <v>1277</v>
      </c>
      <c r="B1117" t="s">
        <v>181</v>
      </c>
      <c r="C1117" t="str">
        <f>TEXT(Sales[[#This Row],[Order_Date]],"mmm")</f>
        <v>Sep</v>
      </c>
      <c r="D1117" t="s">
        <v>239</v>
      </c>
      <c r="E1117" t="s">
        <v>11</v>
      </c>
      <c r="F1117" t="s">
        <v>89</v>
      </c>
      <c r="G1117" t="s">
        <v>133</v>
      </c>
      <c r="H1117">
        <v>3</v>
      </c>
      <c r="I1117">
        <v>4486</v>
      </c>
      <c r="J1117">
        <v>13458</v>
      </c>
    </row>
    <row r="1118" spans="1:10" x14ac:dyDescent="0.3">
      <c r="A1118">
        <v>1380</v>
      </c>
      <c r="B1118" t="s">
        <v>508</v>
      </c>
      <c r="C1118" t="str">
        <f>TEXT(Sales[[#This Row],[Order_Date]],"mmm")</f>
        <v>Sep</v>
      </c>
      <c r="D1118" t="s">
        <v>24</v>
      </c>
      <c r="E1118" t="s">
        <v>16</v>
      </c>
      <c r="F1118" t="s">
        <v>89</v>
      </c>
      <c r="G1118" t="s">
        <v>75</v>
      </c>
      <c r="H1118">
        <v>3</v>
      </c>
      <c r="I1118">
        <v>1308</v>
      </c>
      <c r="J1118">
        <v>3924</v>
      </c>
    </row>
    <row r="1119" spans="1:10" x14ac:dyDescent="0.3">
      <c r="A1119">
        <v>1485</v>
      </c>
      <c r="B1119" t="s">
        <v>617</v>
      </c>
      <c r="C1119" t="str">
        <f>TEXT(Sales[[#This Row],[Order_Date]],"mmm")</f>
        <v>Jan</v>
      </c>
      <c r="D1119" t="s">
        <v>372</v>
      </c>
      <c r="E1119" t="s">
        <v>16</v>
      </c>
      <c r="F1119" t="s">
        <v>136</v>
      </c>
      <c r="G1119" t="s">
        <v>128</v>
      </c>
      <c r="H1119">
        <v>1</v>
      </c>
      <c r="I1119">
        <v>245</v>
      </c>
      <c r="J1119">
        <v>245</v>
      </c>
    </row>
    <row r="1120" spans="1:10" x14ac:dyDescent="0.3">
      <c r="A1120">
        <v>1096</v>
      </c>
      <c r="B1120" t="s">
        <v>499</v>
      </c>
      <c r="C1120" t="str">
        <f>TEXT(Sales[[#This Row],[Order_Date]],"mmm")</f>
        <v>Oct</v>
      </c>
      <c r="D1120" t="s">
        <v>243</v>
      </c>
      <c r="E1120" t="s">
        <v>16</v>
      </c>
      <c r="F1120" t="s">
        <v>89</v>
      </c>
      <c r="G1120" t="s">
        <v>27</v>
      </c>
      <c r="H1120">
        <v>5</v>
      </c>
      <c r="I1120">
        <v>1481</v>
      </c>
      <c r="J1120">
        <v>7405</v>
      </c>
    </row>
    <row r="1121" spans="1:10" x14ac:dyDescent="0.3">
      <c r="A1121">
        <v>1231</v>
      </c>
      <c r="B1121" t="s">
        <v>23</v>
      </c>
      <c r="C1121" t="str">
        <f>TEXT(Sales[[#This Row],[Order_Date]],"mmm")</f>
        <v>Jun</v>
      </c>
      <c r="D1121" t="s">
        <v>51</v>
      </c>
      <c r="E1121" t="s">
        <v>42</v>
      </c>
      <c r="F1121" t="s">
        <v>83</v>
      </c>
      <c r="G1121" t="s">
        <v>93</v>
      </c>
      <c r="H1121">
        <v>4</v>
      </c>
      <c r="I1121">
        <v>4987</v>
      </c>
      <c r="J1121">
        <v>19948</v>
      </c>
    </row>
    <row r="1122" spans="1:10" x14ac:dyDescent="0.3">
      <c r="A1122">
        <v>1412</v>
      </c>
      <c r="B1122" t="s">
        <v>122</v>
      </c>
      <c r="C1122" t="str">
        <f>TEXT(Sales[[#This Row],[Order_Date]],"mmm")</f>
        <v>May</v>
      </c>
      <c r="D1122" t="s">
        <v>491</v>
      </c>
      <c r="E1122" t="s">
        <v>25</v>
      </c>
      <c r="F1122" t="s">
        <v>17</v>
      </c>
      <c r="G1122" t="s">
        <v>72</v>
      </c>
      <c r="H1122">
        <v>2</v>
      </c>
      <c r="I1122">
        <v>2493</v>
      </c>
      <c r="J1122">
        <v>4986</v>
      </c>
    </row>
    <row r="1123" spans="1:10" x14ac:dyDescent="0.3">
      <c r="A1123">
        <v>1129</v>
      </c>
      <c r="B1123" t="s">
        <v>181</v>
      </c>
      <c r="C1123" t="str">
        <f>TEXT(Sales[[#This Row],[Order_Date]],"mmm")</f>
        <v>Sep</v>
      </c>
      <c r="D1123" t="s">
        <v>71</v>
      </c>
      <c r="E1123" t="s">
        <v>16</v>
      </c>
      <c r="F1123" t="s">
        <v>136</v>
      </c>
      <c r="G1123" t="s">
        <v>657</v>
      </c>
      <c r="H1123">
        <v>2</v>
      </c>
      <c r="I1123">
        <v>1577</v>
      </c>
      <c r="J1123">
        <v>3154</v>
      </c>
    </row>
    <row r="1124" spans="1:10" x14ac:dyDescent="0.3">
      <c r="A1124">
        <v>1221</v>
      </c>
      <c r="B1124" t="s">
        <v>290</v>
      </c>
      <c r="C1124" t="str">
        <f>TEXT(Sales[[#This Row],[Order_Date]],"mmm")</f>
        <v>Feb</v>
      </c>
      <c r="D1124" t="s">
        <v>624</v>
      </c>
      <c r="E1124" t="s">
        <v>16</v>
      </c>
      <c r="F1124" t="s">
        <v>17</v>
      </c>
      <c r="G1124" t="s">
        <v>114</v>
      </c>
      <c r="H1124">
        <v>1</v>
      </c>
      <c r="I1124">
        <v>2848</v>
      </c>
      <c r="J1124">
        <v>2848</v>
      </c>
    </row>
    <row r="1125" spans="1:10" x14ac:dyDescent="0.3">
      <c r="A1125">
        <v>1140</v>
      </c>
      <c r="B1125" t="s">
        <v>406</v>
      </c>
      <c r="C1125" t="str">
        <f>TEXT(Sales[[#This Row],[Order_Date]],"mmm")</f>
        <v>Sep</v>
      </c>
      <c r="D1125" t="s">
        <v>251</v>
      </c>
      <c r="E1125" t="s">
        <v>25</v>
      </c>
      <c r="F1125" t="s">
        <v>136</v>
      </c>
      <c r="G1125" t="s">
        <v>46</v>
      </c>
      <c r="H1125">
        <v>3</v>
      </c>
      <c r="I1125">
        <v>4299</v>
      </c>
      <c r="J1125">
        <v>12897</v>
      </c>
    </row>
    <row r="1126" spans="1:10" x14ac:dyDescent="0.3">
      <c r="A1126">
        <v>1402</v>
      </c>
      <c r="B1126" t="s">
        <v>396</v>
      </c>
      <c r="C1126" t="str">
        <f>TEXT(Sales[[#This Row],[Order_Date]],"mmm")</f>
        <v>Jul</v>
      </c>
      <c r="D1126" t="s">
        <v>646</v>
      </c>
      <c r="E1126" t="s">
        <v>42</v>
      </c>
      <c r="F1126" t="s">
        <v>136</v>
      </c>
      <c r="G1126" t="s">
        <v>46</v>
      </c>
      <c r="H1126">
        <v>5</v>
      </c>
      <c r="I1126">
        <v>2796</v>
      </c>
      <c r="J1126">
        <v>13980</v>
      </c>
    </row>
    <row r="1127" spans="1:10" x14ac:dyDescent="0.3">
      <c r="A1127">
        <v>1219</v>
      </c>
      <c r="B1127" t="s">
        <v>84</v>
      </c>
      <c r="C1127" t="str">
        <f>TEXT(Sales[[#This Row],[Order_Date]],"mmm")</f>
        <v>Mar</v>
      </c>
      <c r="D1127" t="s">
        <v>202</v>
      </c>
      <c r="E1127" t="s">
        <v>16</v>
      </c>
      <c r="F1127" t="s">
        <v>89</v>
      </c>
      <c r="G1127" t="s">
        <v>13</v>
      </c>
      <c r="H1127">
        <v>4</v>
      </c>
      <c r="I1127">
        <v>2252</v>
      </c>
      <c r="J1127">
        <v>9008</v>
      </c>
    </row>
    <row r="1128" spans="1:10" x14ac:dyDescent="0.3">
      <c r="A1128">
        <v>1445</v>
      </c>
      <c r="B1128" t="s">
        <v>655</v>
      </c>
      <c r="C1128" t="str">
        <f>TEXT(Sales[[#This Row],[Order_Date]],"mmm")</f>
        <v>Nov</v>
      </c>
      <c r="D1128" t="s">
        <v>400</v>
      </c>
      <c r="E1128" t="s">
        <v>16</v>
      </c>
      <c r="F1128" t="s">
        <v>17</v>
      </c>
      <c r="G1128" t="s">
        <v>72</v>
      </c>
      <c r="H1128">
        <v>3</v>
      </c>
      <c r="I1128">
        <v>3674</v>
      </c>
      <c r="J1128">
        <v>11022</v>
      </c>
    </row>
    <row r="1129" spans="1:10" x14ac:dyDescent="0.3">
      <c r="A1129">
        <v>1195</v>
      </c>
      <c r="B1129" t="s">
        <v>287</v>
      </c>
      <c r="C1129" t="str">
        <f>TEXT(Sales[[#This Row],[Order_Date]],"mmm")</f>
        <v>Jul</v>
      </c>
      <c r="D1129" t="s">
        <v>291</v>
      </c>
      <c r="E1129" t="s">
        <v>16</v>
      </c>
      <c r="F1129" t="s">
        <v>17</v>
      </c>
      <c r="G1129" t="s">
        <v>72</v>
      </c>
      <c r="H1129">
        <v>3</v>
      </c>
      <c r="I1129">
        <v>4509</v>
      </c>
      <c r="J1129">
        <v>13527</v>
      </c>
    </row>
    <row r="1130" spans="1:10" x14ac:dyDescent="0.3">
      <c r="A1130">
        <v>1336</v>
      </c>
      <c r="B1130" t="s">
        <v>653</v>
      </c>
      <c r="C1130" t="str">
        <f>TEXT(Sales[[#This Row],[Order_Date]],"mmm")</f>
        <v>Feb</v>
      </c>
      <c r="D1130" t="s">
        <v>228</v>
      </c>
      <c r="E1130" t="s">
        <v>42</v>
      </c>
      <c r="F1130" t="s">
        <v>89</v>
      </c>
      <c r="G1130" t="s">
        <v>95</v>
      </c>
      <c r="H1130">
        <v>1</v>
      </c>
      <c r="I1130">
        <v>2452</v>
      </c>
      <c r="J1130">
        <v>2452</v>
      </c>
    </row>
    <row r="1131" spans="1:10" x14ac:dyDescent="0.3">
      <c r="A1131">
        <v>1259</v>
      </c>
      <c r="B1131" t="s">
        <v>270</v>
      </c>
      <c r="C1131" t="str">
        <f>TEXT(Sales[[#This Row],[Order_Date]],"mmm")</f>
        <v>May</v>
      </c>
      <c r="D1131" t="s">
        <v>51</v>
      </c>
      <c r="E1131" t="s">
        <v>16</v>
      </c>
      <c r="F1131" t="s">
        <v>83</v>
      </c>
      <c r="G1131" t="s">
        <v>57</v>
      </c>
      <c r="H1131">
        <v>5</v>
      </c>
      <c r="I1131">
        <v>3923</v>
      </c>
      <c r="J1131">
        <v>19615</v>
      </c>
    </row>
    <row r="1132" spans="1:10" x14ac:dyDescent="0.3">
      <c r="A1132">
        <v>1558</v>
      </c>
      <c r="B1132" t="s">
        <v>399</v>
      </c>
      <c r="C1132" t="str">
        <f>TEXT(Sales[[#This Row],[Order_Date]],"mmm")</f>
        <v>Feb</v>
      </c>
      <c r="D1132" t="s">
        <v>216</v>
      </c>
      <c r="E1132" t="s">
        <v>11</v>
      </c>
      <c r="F1132" t="s">
        <v>89</v>
      </c>
      <c r="G1132" t="s">
        <v>27</v>
      </c>
      <c r="H1132">
        <v>2</v>
      </c>
      <c r="I1132">
        <v>878</v>
      </c>
      <c r="J1132">
        <v>1756</v>
      </c>
    </row>
    <row r="1133" spans="1:10" x14ac:dyDescent="0.3">
      <c r="A1133">
        <v>1057</v>
      </c>
      <c r="B1133" t="s">
        <v>217</v>
      </c>
      <c r="C1133" t="str">
        <f>TEXT(Sales[[#This Row],[Order_Date]],"mmm")</f>
        <v>Aug</v>
      </c>
      <c r="D1133" t="s">
        <v>309</v>
      </c>
      <c r="E1133" t="s">
        <v>42</v>
      </c>
      <c r="F1133" t="s">
        <v>83</v>
      </c>
      <c r="G1133" t="s">
        <v>112</v>
      </c>
      <c r="H1133">
        <v>2</v>
      </c>
      <c r="I1133">
        <v>336</v>
      </c>
      <c r="J1133">
        <v>672</v>
      </c>
    </row>
    <row r="1134" spans="1:10" x14ac:dyDescent="0.3">
      <c r="A1134">
        <v>1324</v>
      </c>
      <c r="B1134" t="s">
        <v>325</v>
      </c>
      <c r="C1134" t="str">
        <f>TEXT(Sales[[#This Row],[Order_Date]],"mmm")</f>
        <v>Dec</v>
      </c>
      <c r="D1134" t="s">
        <v>385</v>
      </c>
      <c r="E1134" t="s">
        <v>11</v>
      </c>
      <c r="F1134" t="s">
        <v>89</v>
      </c>
      <c r="G1134" t="s">
        <v>133</v>
      </c>
      <c r="H1134">
        <v>4</v>
      </c>
      <c r="I1134">
        <v>703</v>
      </c>
      <c r="J1134">
        <v>2812</v>
      </c>
    </row>
    <row r="1135" spans="1:10" x14ac:dyDescent="0.3">
      <c r="A1135">
        <v>1513</v>
      </c>
      <c r="B1135" t="s">
        <v>343</v>
      </c>
      <c r="C1135" t="str">
        <f>TEXT(Sales[[#This Row],[Order_Date]],"mmm")</f>
        <v>Mar</v>
      </c>
      <c r="D1135" t="s">
        <v>482</v>
      </c>
      <c r="E1135" t="s">
        <v>16</v>
      </c>
      <c r="F1135" t="s">
        <v>89</v>
      </c>
      <c r="G1135" t="s">
        <v>27</v>
      </c>
      <c r="H1135">
        <v>1</v>
      </c>
      <c r="I1135">
        <v>2457</v>
      </c>
      <c r="J1135">
        <v>2457</v>
      </c>
    </row>
    <row r="1136" spans="1:10" x14ac:dyDescent="0.3">
      <c r="A1136">
        <v>1419</v>
      </c>
      <c r="B1136" t="s">
        <v>626</v>
      </c>
      <c r="C1136" t="str">
        <f>TEXT(Sales[[#This Row],[Order_Date]],"mmm")</f>
        <v>Mar</v>
      </c>
      <c r="D1136" t="s">
        <v>38</v>
      </c>
      <c r="E1136" t="s">
        <v>25</v>
      </c>
      <c r="F1136" t="s">
        <v>83</v>
      </c>
      <c r="G1136" t="s">
        <v>112</v>
      </c>
      <c r="H1136">
        <v>1</v>
      </c>
      <c r="I1136">
        <v>2997</v>
      </c>
      <c r="J1136">
        <v>2997</v>
      </c>
    </row>
    <row r="1137" spans="1:10" x14ac:dyDescent="0.3">
      <c r="A1137">
        <v>1088</v>
      </c>
      <c r="B1137" t="s">
        <v>235</v>
      </c>
      <c r="C1137" t="str">
        <f>TEXT(Sales[[#This Row],[Order_Date]],"mmm")</f>
        <v>Oct</v>
      </c>
      <c r="D1137" t="s">
        <v>645</v>
      </c>
      <c r="E1137" t="s">
        <v>25</v>
      </c>
      <c r="F1137" t="s">
        <v>136</v>
      </c>
      <c r="G1137" t="s">
        <v>124</v>
      </c>
      <c r="H1137">
        <v>2</v>
      </c>
      <c r="I1137">
        <v>907</v>
      </c>
      <c r="J1137">
        <v>1814</v>
      </c>
    </row>
    <row r="1138" spans="1:10" x14ac:dyDescent="0.3">
      <c r="A1138">
        <v>1020</v>
      </c>
      <c r="B1138" t="s">
        <v>393</v>
      </c>
      <c r="C1138" t="str">
        <f>TEXT(Sales[[#This Row],[Order_Date]],"mmm")</f>
        <v>Mar</v>
      </c>
      <c r="D1138" t="s">
        <v>187</v>
      </c>
      <c r="E1138" t="s">
        <v>16</v>
      </c>
      <c r="F1138" t="s">
        <v>83</v>
      </c>
      <c r="G1138" t="s">
        <v>93</v>
      </c>
      <c r="H1138">
        <v>1</v>
      </c>
      <c r="I1138">
        <v>2221</v>
      </c>
      <c r="J1138">
        <v>2221</v>
      </c>
    </row>
    <row r="1139" spans="1:10" x14ac:dyDescent="0.3">
      <c r="A1139">
        <v>1195</v>
      </c>
      <c r="B1139" t="s">
        <v>606</v>
      </c>
      <c r="C1139" t="str">
        <f>TEXT(Sales[[#This Row],[Order_Date]],"mmm")</f>
        <v>Mar</v>
      </c>
      <c r="D1139" t="s">
        <v>69</v>
      </c>
      <c r="E1139" t="s">
        <v>11</v>
      </c>
      <c r="F1139" t="s">
        <v>83</v>
      </c>
      <c r="G1139" t="s">
        <v>78</v>
      </c>
      <c r="H1139">
        <v>3</v>
      </c>
      <c r="I1139">
        <v>1350</v>
      </c>
      <c r="J1139">
        <v>4050</v>
      </c>
    </row>
    <row r="1140" spans="1:10" x14ac:dyDescent="0.3">
      <c r="A1140">
        <v>1192</v>
      </c>
      <c r="B1140" t="s">
        <v>600</v>
      </c>
      <c r="C1140" t="str">
        <f>TEXT(Sales[[#This Row],[Order_Date]],"mmm")</f>
        <v>May</v>
      </c>
      <c r="D1140" t="s">
        <v>631</v>
      </c>
      <c r="E1140" t="s">
        <v>42</v>
      </c>
      <c r="F1140" t="s">
        <v>17</v>
      </c>
      <c r="G1140" t="s">
        <v>114</v>
      </c>
      <c r="H1140">
        <v>4</v>
      </c>
      <c r="I1140">
        <v>2367</v>
      </c>
      <c r="J1140">
        <v>9468</v>
      </c>
    </row>
    <row r="1141" spans="1:10" x14ac:dyDescent="0.3">
      <c r="A1141">
        <v>1372</v>
      </c>
      <c r="B1141" t="s">
        <v>599</v>
      </c>
      <c r="C1141" t="str">
        <f>TEXT(Sales[[#This Row],[Order_Date]],"mmm")</f>
        <v>Jun</v>
      </c>
      <c r="D1141" t="s">
        <v>284</v>
      </c>
      <c r="E1141" t="s">
        <v>11</v>
      </c>
      <c r="F1141" t="s">
        <v>136</v>
      </c>
      <c r="G1141" t="s">
        <v>128</v>
      </c>
      <c r="H1141">
        <v>2</v>
      </c>
      <c r="I1141">
        <v>4606</v>
      </c>
      <c r="J1141">
        <v>9212</v>
      </c>
    </row>
    <row r="1142" spans="1:10" x14ac:dyDescent="0.3">
      <c r="A1142">
        <v>1444</v>
      </c>
      <c r="B1142" t="s">
        <v>642</v>
      </c>
      <c r="C1142" t="str">
        <f>TEXT(Sales[[#This Row],[Order_Date]],"mmm")</f>
        <v>Jun</v>
      </c>
      <c r="D1142" t="s">
        <v>273</v>
      </c>
      <c r="E1142" t="s">
        <v>42</v>
      </c>
      <c r="F1142" t="s">
        <v>89</v>
      </c>
      <c r="G1142" t="s">
        <v>13</v>
      </c>
      <c r="H1142">
        <v>1</v>
      </c>
      <c r="I1142">
        <v>4404</v>
      </c>
      <c r="J1142">
        <v>4404</v>
      </c>
    </row>
    <row r="1143" spans="1:10" x14ac:dyDescent="0.3">
      <c r="A1143">
        <v>1478</v>
      </c>
      <c r="B1143" t="s">
        <v>377</v>
      </c>
      <c r="C1143" t="str">
        <f>TEXT(Sales[[#This Row],[Order_Date]],"mmm")</f>
        <v>May</v>
      </c>
      <c r="D1143" t="s">
        <v>598</v>
      </c>
      <c r="E1143" t="s">
        <v>16</v>
      </c>
      <c r="F1143" t="s">
        <v>83</v>
      </c>
      <c r="G1143" t="s">
        <v>57</v>
      </c>
      <c r="H1143">
        <v>2</v>
      </c>
      <c r="I1143">
        <v>4027</v>
      </c>
      <c r="J1143">
        <v>8054</v>
      </c>
    </row>
    <row r="1144" spans="1:10" x14ac:dyDescent="0.3">
      <c r="A1144">
        <v>1386</v>
      </c>
      <c r="B1144" t="s">
        <v>131</v>
      </c>
      <c r="C1144" t="str">
        <f>TEXT(Sales[[#This Row],[Order_Date]],"mmm")</f>
        <v>Dec</v>
      </c>
      <c r="D1144" t="s">
        <v>71</v>
      </c>
      <c r="E1144" t="s">
        <v>25</v>
      </c>
      <c r="F1144" t="s">
        <v>83</v>
      </c>
      <c r="G1144" t="s">
        <v>112</v>
      </c>
      <c r="H1144">
        <v>1</v>
      </c>
      <c r="I1144">
        <v>1500</v>
      </c>
      <c r="J1144">
        <v>1500</v>
      </c>
    </row>
    <row r="1145" spans="1:10" x14ac:dyDescent="0.3">
      <c r="A1145">
        <v>1102</v>
      </c>
      <c r="B1145" t="s">
        <v>90</v>
      </c>
      <c r="C1145" t="str">
        <f>TEXT(Sales[[#This Row],[Order_Date]],"mmm")</f>
        <v>Apr</v>
      </c>
      <c r="D1145" t="s">
        <v>228</v>
      </c>
      <c r="E1145" t="s">
        <v>16</v>
      </c>
      <c r="F1145" t="s">
        <v>89</v>
      </c>
      <c r="G1145" t="s">
        <v>95</v>
      </c>
      <c r="H1145">
        <v>5</v>
      </c>
      <c r="I1145">
        <v>1725</v>
      </c>
      <c r="J1145">
        <v>8625</v>
      </c>
    </row>
    <row r="1146" spans="1:10" x14ac:dyDescent="0.3">
      <c r="A1146">
        <v>1467</v>
      </c>
      <c r="B1146" t="s">
        <v>402</v>
      </c>
      <c r="C1146" t="str">
        <f>TEXT(Sales[[#This Row],[Order_Date]],"mmm")</f>
        <v>Oct</v>
      </c>
      <c r="D1146" t="s">
        <v>526</v>
      </c>
      <c r="E1146" t="s">
        <v>16</v>
      </c>
      <c r="F1146" t="s">
        <v>136</v>
      </c>
      <c r="G1146" t="s">
        <v>46</v>
      </c>
      <c r="H1146">
        <v>3</v>
      </c>
      <c r="I1146">
        <v>3257</v>
      </c>
      <c r="J1146">
        <v>9771</v>
      </c>
    </row>
    <row r="1147" spans="1:10" x14ac:dyDescent="0.3">
      <c r="A1147">
        <v>1410</v>
      </c>
      <c r="B1147" t="s">
        <v>373</v>
      </c>
      <c r="C1147" t="str">
        <f>TEXT(Sales[[#This Row],[Order_Date]],"mmm")</f>
        <v>Jun</v>
      </c>
      <c r="D1147" t="s">
        <v>639</v>
      </c>
      <c r="E1147" t="s">
        <v>11</v>
      </c>
      <c r="F1147" t="s">
        <v>17</v>
      </c>
      <c r="G1147" t="s">
        <v>18</v>
      </c>
      <c r="H1147">
        <v>4</v>
      </c>
      <c r="I1147">
        <v>2406</v>
      </c>
      <c r="J1147">
        <v>9624</v>
      </c>
    </row>
    <row r="1148" spans="1:10" x14ac:dyDescent="0.3">
      <c r="A1148">
        <v>1029</v>
      </c>
      <c r="B1148" t="s">
        <v>590</v>
      </c>
      <c r="C1148" t="str">
        <f>TEXT(Sales[[#This Row],[Order_Date]],"mmm")</f>
        <v>Mar</v>
      </c>
      <c r="D1148" t="s">
        <v>498</v>
      </c>
      <c r="E1148" t="s">
        <v>11</v>
      </c>
      <c r="F1148" t="s">
        <v>17</v>
      </c>
      <c r="G1148" t="s">
        <v>101</v>
      </c>
      <c r="H1148">
        <v>2</v>
      </c>
      <c r="I1148">
        <v>2929</v>
      </c>
      <c r="J1148">
        <v>5858</v>
      </c>
    </row>
    <row r="1149" spans="1:10" x14ac:dyDescent="0.3">
      <c r="A1149">
        <v>1092</v>
      </c>
      <c r="B1149" t="s">
        <v>427</v>
      </c>
      <c r="C1149" t="str">
        <f>TEXT(Sales[[#This Row],[Order_Date]],"mmm")</f>
        <v>Jun</v>
      </c>
      <c r="D1149" t="s">
        <v>420</v>
      </c>
      <c r="E1149" t="s">
        <v>11</v>
      </c>
      <c r="F1149" t="s">
        <v>17</v>
      </c>
      <c r="G1149" t="s">
        <v>657</v>
      </c>
      <c r="H1149">
        <v>2</v>
      </c>
      <c r="I1149">
        <v>3973</v>
      </c>
      <c r="J1149">
        <v>7946</v>
      </c>
    </row>
    <row r="1150" spans="1:10" x14ac:dyDescent="0.3">
      <c r="A1150">
        <v>1176</v>
      </c>
      <c r="B1150" t="s">
        <v>242</v>
      </c>
      <c r="C1150" t="str">
        <f>TEXT(Sales[[#This Row],[Order_Date]],"mmm")</f>
        <v>Jun</v>
      </c>
      <c r="D1150" t="s">
        <v>118</v>
      </c>
      <c r="E1150" t="s">
        <v>16</v>
      </c>
      <c r="F1150" t="s">
        <v>83</v>
      </c>
      <c r="G1150" t="s">
        <v>93</v>
      </c>
      <c r="H1150">
        <v>4</v>
      </c>
      <c r="I1150">
        <v>938</v>
      </c>
      <c r="J1150">
        <v>3752</v>
      </c>
    </row>
    <row r="1151" spans="1:10" x14ac:dyDescent="0.3">
      <c r="A1151">
        <v>1568</v>
      </c>
      <c r="B1151" t="s">
        <v>362</v>
      </c>
      <c r="C1151" t="str">
        <f>TEXT(Sales[[#This Row],[Order_Date]],"mmm")</f>
        <v>Jul</v>
      </c>
      <c r="D1151" t="s">
        <v>252</v>
      </c>
      <c r="E1151" t="s">
        <v>25</v>
      </c>
      <c r="F1151" t="s">
        <v>136</v>
      </c>
      <c r="G1151" t="s">
        <v>128</v>
      </c>
      <c r="H1151">
        <v>4</v>
      </c>
      <c r="I1151">
        <v>4704</v>
      </c>
      <c r="J1151">
        <v>18816</v>
      </c>
    </row>
    <row r="1152" spans="1:10" x14ac:dyDescent="0.3">
      <c r="A1152">
        <v>1483</v>
      </c>
      <c r="B1152" t="s">
        <v>115</v>
      </c>
      <c r="C1152" t="str">
        <f>TEXT(Sales[[#This Row],[Order_Date]],"mmm")</f>
        <v>Dec</v>
      </c>
      <c r="D1152" t="s">
        <v>208</v>
      </c>
      <c r="E1152" t="s">
        <v>11</v>
      </c>
      <c r="F1152" t="s">
        <v>136</v>
      </c>
      <c r="G1152" t="s">
        <v>128</v>
      </c>
      <c r="H1152">
        <v>2</v>
      </c>
      <c r="I1152">
        <v>2807</v>
      </c>
      <c r="J1152">
        <v>5614</v>
      </c>
    </row>
    <row r="1153" spans="1:10" x14ac:dyDescent="0.3">
      <c r="A1153">
        <v>1334</v>
      </c>
      <c r="B1153" t="s">
        <v>275</v>
      </c>
      <c r="C1153" t="str">
        <f>TEXT(Sales[[#This Row],[Order_Date]],"mmm")</f>
        <v>May</v>
      </c>
      <c r="D1153" t="s">
        <v>500</v>
      </c>
      <c r="E1153" t="s">
        <v>25</v>
      </c>
      <c r="F1153" t="s">
        <v>136</v>
      </c>
      <c r="G1153" t="s">
        <v>67</v>
      </c>
      <c r="H1153">
        <v>3</v>
      </c>
      <c r="I1153">
        <v>4200</v>
      </c>
      <c r="J1153">
        <v>12600</v>
      </c>
    </row>
    <row r="1154" spans="1:10" x14ac:dyDescent="0.3">
      <c r="A1154">
        <v>1027</v>
      </c>
      <c r="B1154" t="s">
        <v>264</v>
      </c>
      <c r="C1154" t="str">
        <f>TEXT(Sales[[#This Row],[Order_Date]],"mmm")</f>
        <v>Apr</v>
      </c>
      <c r="D1154" t="s">
        <v>631</v>
      </c>
      <c r="E1154" t="s">
        <v>25</v>
      </c>
      <c r="F1154" t="s">
        <v>17</v>
      </c>
      <c r="G1154" t="s">
        <v>114</v>
      </c>
      <c r="H1154">
        <v>3</v>
      </c>
      <c r="I1154">
        <v>4307</v>
      </c>
      <c r="J1154">
        <v>12921</v>
      </c>
    </row>
    <row r="1155" spans="1:10" x14ac:dyDescent="0.3">
      <c r="A1155">
        <v>1407</v>
      </c>
      <c r="B1155" t="s">
        <v>272</v>
      </c>
      <c r="C1155" t="str">
        <f>TEXT(Sales[[#This Row],[Order_Date]],"mmm")</f>
        <v>Feb</v>
      </c>
      <c r="D1155" t="s">
        <v>273</v>
      </c>
      <c r="E1155" t="s">
        <v>16</v>
      </c>
      <c r="F1155" t="s">
        <v>17</v>
      </c>
      <c r="G1155" t="s">
        <v>114</v>
      </c>
      <c r="H1155">
        <v>1</v>
      </c>
      <c r="I1155">
        <v>1930</v>
      </c>
      <c r="J1155">
        <v>1930</v>
      </c>
    </row>
    <row r="1156" spans="1:10" x14ac:dyDescent="0.3">
      <c r="A1156">
        <v>1393</v>
      </c>
      <c r="B1156" t="s">
        <v>635</v>
      </c>
      <c r="C1156" t="str">
        <f>TEXT(Sales[[#This Row],[Order_Date]],"mmm")</f>
        <v>Nov</v>
      </c>
      <c r="D1156" t="s">
        <v>586</v>
      </c>
      <c r="E1156" t="s">
        <v>42</v>
      </c>
      <c r="F1156" t="s">
        <v>136</v>
      </c>
      <c r="G1156" t="s">
        <v>128</v>
      </c>
      <c r="H1156">
        <v>4</v>
      </c>
      <c r="I1156">
        <v>4137</v>
      </c>
      <c r="J1156">
        <v>16548</v>
      </c>
    </row>
    <row r="1157" spans="1:10" x14ac:dyDescent="0.3">
      <c r="A1157">
        <v>1431</v>
      </c>
      <c r="B1157" t="s">
        <v>364</v>
      </c>
      <c r="C1157" t="str">
        <f>TEXT(Sales[[#This Row],[Order_Date]],"mmm")</f>
        <v>Apr</v>
      </c>
      <c r="D1157" t="s">
        <v>527</v>
      </c>
      <c r="E1157" t="s">
        <v>16</v>
      </c>
      <c r="F1157" t="s">
        <v>136</v>
      </c>
      <c r="G1157" t="s">
        <v>67</v>
      </c>
      <c r="H1157">
        <v>1</v>
      </c>
      <c r="I1157">
        <v>3036</v>
      </c>
      <c r="J1157">
        <v>3036</v>
      </c>
    </row>
    <row r="1158" spans="1:10" x14ac:dyDescent="0.3">
      <c r="A1158">
        <v>1414</v>
      </c>
      <c r="B1158" t="s">
        <v>632</v>
      </c>
      <c r="C1158" t="str">
        <f>TEXT(Sales[[#This Row],[Order_Date]],"mmm")</f>
        <v>Jan</v>
      </c>
      <c r="D1158" t="s">
        <v>527</v>
      </c>
      <c r="E1158" t="s">
        <v>16</v>
      </c>
      <c r="F1158" t="s">
        <v>89</v>
      </c>
      <c r="G1158" t="s">
        <v>13</v>
      </c>
      <c r="H1158">
        <v>1</v>
      </c>
      <c r="I1158">
        <v>4182</v>
      </c>
      <c r="J1158">
        <v>4182</v>
      </c>
    </row>
    <row r="1159" spans="1:10" x14ac:dyDescent="0.3">
      <c r="A1159">
        <v>1432</v>
      </c>
      <c r="B1159" t="s">
        <v>492</v>
      </c>
      <c r="C1159" t="str">
        <f>TEXT(Sales[[#This Row],[Order_Date]],"mmm")</f>
        <v>Jan</v>
      </c>
      <c r="D1159" t="s">
        <v>327</v>
      </c>
      <c r="E1159" t="s">
        <v>16</v>
      </c>
      <c r="F1159" t="s">
        <v>136</v>
      </c>
      <c r="G1159" t="s">
        <v>22</v>
      </c>
      <c r="H1159">
        <v>5</v>
      </c>
      <c r="I1159">
        <v>3254</v>
      </c>
      <c r="J1159">
        <v>16270</v>
      </c>
    </row>
    <row r="1160" spans="1:10" x14ac:dyDescent="0.3">
      <c r="A1160">
        <v>1547</v>
      </c>
      <c r="B1160" t="s">
        <v>110</v>
      </c>
      <c r="C1160" t="str">
        <f>TEXT(Sales[[#This Row],[Order_Date]],"mmm")</f>
        <v>Jul</v>
      </c>
      <c r="D1160" t="s">
        <v>296</v>
      </c>
      <c r="E1160" t="s">
        <v>25</v>
      </c>
      <c r="F1160" t="s">
        <v>17</v>
      </c>
      <c r="G1160" t="s">
        <v>53</v>
      </c>
      <c r="H1160">
        <v>2</v>
      </c>
      <c r="I1160">
        <v>256</v>
      </c>
      <c r="J1160">
        <v>512</v>
      </c>
    </row>
    <row r="1161" spans="1:10" x14ac:dyDescent="0.3">
      <c r="A1161">
        <v>1264</v>
      </c>
      <c r="B1161" t="s">
        <v>337</v>
      </c>
      <c r="C1161" t="str">
        <f>TEXT(Sales[[#This Row],[Order_Date]],"mmm")</f>
        <v>Apr</v>
      </c>
      <c r="D1161" t="s">
        <v>498</v>
      </c>
      <c r="E1161" t="s">
        <v>16</v>
      </c>
      <c r="F1161" t="s">
        <v>136</v>
      </c>
      <c r="G1161" t="s">
        <v>46</v>
      </c>
      <c r="H1161">
        <v>3</v>
      </c>
      <c r="I1161">
        <v>526</v>
      </c>
      <c r="J1161">
        <v>1578</v>
      </c>
    </row>
    <row r="1162" spans="1:10" x14ac:dyDescent="0.3">
      <c r="A1162">
        <v>1375</v>
      </c>
      <c r="B1162" t="s">
        <v>138</v>
      </c>
      <c r="C1162" t="str">
        <f>TEXT(Sales[[#This Row],[Order_Date]],"mmm")</f>
        <v>Jan</v>
      </c>
      <c r="D1162" t="s">
        <v>612</v>
      </c>
      <c r="E1162" t="s">
        <v>25</v>
      </c>
      <c r="F1162" t="s">
        <v>89</v>
      </c>
      <c r="G1162" t="s">
        <v>95</v>
      </c>
      <c r="H1162">
        <v>3</v>
      </c>
      <c r="I1162">
        <v>392</v>
      </c>
      <c r="J1162">
        <v>1176</v>
      </c>
    </row>
    <row r="1163" spans="1:10" x14ac:dyDescent="0.3">
      <c r="A1163">
        <v>1365</v>
      </c>
      <c r="B1163" t="s">
        <v>577</v>
      </c>
      <c r="C1163" t="str">
        <f>TEXT(Sales[[#This Row],[Order_Date]],"mmm")</f>
        <v>Aug</v>
      </c>
      <c r="D1163" t="s">
        <v>281</v>
      </c>
      <c r="E1163" t="s">
        <v>42</v>
      </c>
      <c r="F1163" t="s">
        <v>136</v>
      </c>
      <c r="G1163" t="s">
        <v>22</v>
      </c>
      <c r="H1163">
        <v>5</v>
      </c>
      <c r="I1163">
        <v>1114</v>
      </c>
      <c r="J1163">
        <v>5570</v>
      </c>
    </row>
    <row r="1164" spans="1:10" x14ac:dyDescent="0.3">
      <c r="A1164">
        <v>1405</v>
      </c>
      <c r="B1164" t="s">
        <v>656</v>
      </c>
      <c r="C1164" t="str">
        <f>TEXT(Sales[[#This Row],[Order_Date]],"mmm")</f>
        <v>May</v>
      </c>
      <c r="D1164" t="s">
        <v>588</v>
      </c>
      <c r="E1164" t="s">
        <v>11</v>
      </c>
      <c r="F1164" t="s">
        <v>83</v>
      </c>
      <c r="G1164" t="s">
        <v>57</v>
      </c>
      <c r="H1164">
        <v>2</v>
      </c>
      <c r="I1164">
        <v>4242</v>
      </c>
      <c r="J1164">
        <v>8484</v>
      </c>
    </row>
    <row r="1165" spans="1:10" x14ac:dyDescent="0.3">
      <c r="A1165">
        <v>1469</v>
      </c>
      <c r="B1165" t="s">
        <v>554</v>
      </c>
      <c r="C1165" t="str">
        <f>TEXT(Sales[[#This Row],[Order_Date]],"mmm")</f>
        <v>Dec</v>
      </c>
      <c r="D1165" t="s">
        <v>495</v>
      </c>
      <c r="E1165" t="s">
        <v>42</v>
      </c>
      <c r="F1165" t="s">
        <v>17</v>
      </c>
      <c r="G1165" t="s">
        <v>18</v>
      </c>
      <c r="H1165">
        <v>1</v>
      </c>
      <c r="I1165">
        <v>2875</v>
      </c>
      <c r="J1165">
        <v>2875</v>
      </c>
    </row>
    <row r="1166" spans="1:10" x14ac:dyDescent="0.3">
      <c r="A1166">
        <v>1103</v>
      </c>
      <c r="B1166" t="s">
        <v>287</v>
      </c>
      <c r="C1166" t="str">
        <f>TEXT(Sales[[#This Row],[Order_Date]],"mmm")</f>
        <v>Jul</v>
      </c>
      <c r="D1166" t="s">
        <v>498</v>
      </c>
      <c r="E1166" t="s">
        <v>11</v>
      </c>
      <c r="F1166" t="s">
        <v>83</v>
      </c>
      <c r="G1166" t="s">
        <v>112</v>
      </c>
      <c r="H1166">
        <v>4</v>
      </c>
      <c r="I1166">
        <v>383</v>
      </c>
      <c r="J1166">
        <v>1532</v>
      </c>
    </row>
    <row r="1167" spans="1:10" x14ac:dyDescent="0.3">
      <c r="A1167">
        <v>1081</v>
      </c>
      <c r="B1167" t="s">
        <v>389</v>
      </c>
      <c r="C1167" t="str">
        <f>TEXT(Sales[[#This Row],[Order_Date]],"mmm")</f>
        <v>Aug</v>
      </c>
      <c r="D1167" t="s">
        <v>318</v>
      </c>
      <c r="E1167" t="s">
        <v>42</v>
      </c>
      <c r="F1167" t="s">
        <v>83</v>
      </c>
      <c r="G1167" t="s">
        <v>93</v>
      </c>
      <c r="H1167">
        <v>5</v>
      </c>
      <c r="I1167">
        <v>4411</v>
      </c>
      <c r="J1167">
        <v>22055</v>
      </c>
    </row>
    <row r="1168" spans="1:10" x14ac:dyDescent="0.3">
      <c r="A1168">
        <v>1050</v>
      </c>
      <c r="B1168" t="s">
        <v>362</v>
      </c>
      <c r="C1168" t="str">
        <f>TEXT(Sales[[#This Row],[Order_Date]],"mmm")</f>
        <v>Jul</v>
      </c>
      <c r="D1168" t="s">
        <v>414</v>
      </c>
      <c r="E1168" t="s">
        <v>42</v>
      </c>
      <c r="F1168" t="s">
        <v>136</v>
      </c>
      <c r="G1168" t="s">
        <v>128</v>
      </c>
      <c r="H1168">
        <v>2</v>
      </c>
      <c r="I1168">
        <v>2467</v>
      </c>
      <c r="J1168">
        <v>4934</v>
      </c>
    </row>
    <row r="1169" spans="1:10" x14ac:dyDescent="0.3">
      <c r="A1169">
        <v>1408</v>
      </c>
      <c r="B1169" t="s">
        <v>470</v>
      </c>
      <c r="C1169" t="str">
        <f>TEXT(Sales[[#This Row],[Order_Date]],"mmm")</f>
        <v>Apr</v>
      </c>
      <c r="D1169" t="s">
        <v>151</v>
      </c>
      <c r="E1169" t="s">
        <v>11</v>
      </c>
      <c r="F1169" t="s">
        <v>89</v>
      </c>
      <c r="G1169" t="s">
        <v>95</v>
      </c>
      <c r="H1169">
        <v>2</v>
      </c>
      <c r="I1169">
        <v>353</v>
      </c>
      <c r="J1169">
        <v>706</v>
      </c>
    </row>
    <row r="1170" spans="1:10" x14ac:dyDescent="0.3">
      <c r="A1170">
        <v>1281</v>
      </c>
      <c r="B1170" t="s">
        <v>357</v>
      </c>
      <c r="C1170" t="str">
        <f>TEXT(Sales[[#This Row],[Order_Date]],"mmm")</f>
        <v>May</v>
      </c>
      <c r="D1170" t="s">
        <v>301</v>
      </c>
      <c r="E1170" t="s">
        <v>16</v>
      </c>
      <c r="F1170" t="s">
        <v>89</v>
      </c>
      <c r="G1170" t="s">
        <v>27</v>
      </c>
      <c r="H1170">
        <v>1</v>
      </c>
      <c r="I1170">
        <v>2859</v>
      </c>
      <c r="J1170">
        <v>2859</v>
      </c>
    </row>
    <row r="1171" spans="1:10" x14ac:dyDescent="0.3">
      <c r="A1171">
        <v>1471</v>
      </c>
      <c r="B1171" t="s">
        <v>174</v>
      </c>
      <c r="C1171" t="str">
        <f>TEXT(Sales[[#This Row],[Order_Date]],"mmm")</f>
        <v>Oct</v>
      </c>
      <c r="D1171" t="s">
        <v>333</v>
      </c>
      <c r="E1171" t="s">
        <v>16</v>
      </c>
      <c r="F1171" t="s">
        <v>89</v>
      </c>
      <c r="G1171" t="s">
        <v>133</v>
      </c>
      <c r="H1171">
        <v>5</v>
      </c>
      <c r="I1171">
        <v>302</v>
      </c>
      <c r="J1171">
        <v>1510</v>
      </c>
    </row>
    <row r="1172" spans="1:10" x14ac:dyDescent="0.3">
      <c r="A1172">
        <v>1455</v>
      </c>
      <c r="B1172" t="s">
        <v>551</v>
      </c>
      <c r="C1172" t="str">
        <f>TEXT(Sales[[#This Row],[Order_Date]],"mmm")</f>
        <v>Mar</v>
      </c>
      <c r="D1172" t="s">
        <v>301</v>
      </c>
      <c r="E1172" t="s">
        <v>11</v>
      </c>
      <c r="F1172" t="s">
        <v>136</v>
      </c>
      <c r="G1172" t="s">
        <v>128</v>
      </c>
      <c r="H1172">
        <v>3</v>
      </c>
      <c r="I1172">
        <v>3500</v>
      </c>
      <c r="J1172">
        <v>10500</v>
      </c>
    </row>
    <row r="1173" spans="1:10" x14ac:dyDescent="0.3">
      <c r="A1173">
        <v>1080</v>
      </c>
      <c r="B1173" t="s">
        <v>603</v>
      </c>
      <c r="C1173" t="str">
        <f>TEXT(Sales[[#This Row],[Order_Date]],"mmm")</f>
        <v>Nov</v>
      </c>
      <c r="D1173" t="s">
        <v>144</v>
      </c>
      <c r="E1173" t="s">
        <v>25</v>
      </c>
      <c r="F1173" t="s">
        <v>89</v>
      </c>
      <c r="G1173" t="s">
        <v>27</v>
      </c>
      <c r="H1173">
        <v>3</v>
      </c>
      <c r="I1173">
        <v>2590</v>
      </c>
      <c r="J1173">
        <v>7770</v>
      </c>
    </row>
    <row r="1174" spans="1:10" x14ac:dyDescent="0.3">
      <c r="A1174">
        <v>1478</v>
      </c>
      <c r="B1174" t="s">
        <v>595</v>
      </c>
      <c r="C1174" t="str">
        <f>TEXT(Sales[[#This Row],[Order_Date]],"mmm")</f>
        <v>Jan</v>
      </c>
      <c r="D1174" t="s">
        <v>438</v>
      </c>
      <c r="E1174" t="s">
        <v>11</v>
      </c>
      <c r="F1174" t="s">
        <v>17</v>
      </c>
      <c r="G1174" t="s">
        <v>18</v>
      </c>
      <c r="H1174">
        <v>4</v>
      </c>
      <c r="I1174">
        <v>391</v>
      </c>
      <c r="J1174">
        <v>1564</v>
      </c>
    </row>
    <row r="1175" spans="1:10" x14ac:dyDescent="0.3">
      <c r="A1175">
        <v>1502</v>
      </c>
      <c r="B1175" t="s">
        <v>266</v>
      </c>
      <c r="C1175" t="str">
        <f>TEXT(Sales[[#This Row],[Order_Date]],"mmm")</f>
        <v>Apr</v>
      </c>
      <c r="D1175" t="s">
        <v>208</v>
      </c>
      <c r="E1175" t="s">
        <v>25</v>
      </c>
      <c r="F1175" t="s">
        <v>17</v>
      </c>
      <c r="G1175" t="s">
        <v>53</v>
      </c>
      <c r="H1175">
        <v>4</v>
      </c>
      <c r="I1175">
        <v>1988</v>
      </c>
      <c r="J1175">
        <v>7952</v>
      </c>
    </row>
    <row r="1176" spans="1:10" x14ac:dyDescent="0.3">
      <c r="A1176">
        <v>1296</v>
      </c>
      <c r="B1176" t="s">
        <v>364</v>
      </c>
      <c r="C1176" t="str">
        <f>TEXT(Sales[[#This Row],[Order_Date]],"mmm")</f>
        <v>Apr</v>
      </c>
      <c r="D1176" t="s">
        <v>116</v>
      </c>
      <c r="E1176" t="s">
        <v>25</v>
      </c>
      <c r="F1176" t="s">
        <v>17</v>
      </c>
      <c r="G1176" t="s">
        <v>53</v>
      </c>
      <c r="H1176">
        <v>2</v>
      </c>
      <c r="I1176">
        <v>3625</v>
      </c>
      <c r="J1176">
        <v>7250</v>
      </c>
    </row>
    <row r="1177" spans="1:10" x14ac:dyDescent="0.3">
      <c r="A1177">
        <v>1371</v>
      </c>
      <c r="B1177" t="s">
        <v>200</v>
      </c>
      <c r="C1177" t="str">
        <f>TEXT(Sales[[#This Row],[Order_Date]],"mmm")</f>
        <v>Nov</v>
      </c>
      <c r="D1177" t="s">
        <v>121</v>
      </c>
      <c r="E1177" t="s">
        <v>16</v>
      </c>
      <c r="F1177" t="s">
        <v>89</v>
      </c>
      <c r="G1177" t="s">
        <v>133</v>
      </c>
      <c r="H1177">
        <v>4</v>
      </c>
      <c r="I1177">
        <v>4253</v>
      </c>
      <c r="J1177">
        <v>17012</v>
      </c>
    </row>
    <row r="1178" spans="1:10" x14ac:dyDescent="0.3">
      <c r="A1178">
        <v>1460</v>
      </c>
      <c r="B1178" t="s">
        <v>253</v>
      </c>
      <c r="C1178" t="str">
        <f>TEXT(Sales[[#This Row],[Order_Date]],"mmm")</f>
        <v>Mar</v>
      </c>
      <c r="D1178" t="s">
        <v>426</v>
      </c>
      <c r="E1178" t="s">
        <v>42</v>
      </c>
      <c r="F1178" t="s">
        <v>17</v>
      </c>
      <c r="G1178" t="s">
        <v>53</v>
      </c>
      <c r="H1178">
        <v>5</v>
      </c>
      <c r="I1178">
        <v>2936</v>
      </c>
      <c r="J1178">
        <v>14680</v>
      </c>
    </row>
    <row r="1179" spans="1:10" x14ac:dyDescent="0.3">
      <c r="A1179">
        <v>1100</v>
      </c>
      <c r="B1179" t="s">
        <v>566</v>
      </c>
      <c r="C1179" t="str">
        <f>TEXT(Sales[[#This Row],[Order_Date]],"mmm")</f>
        <v>Jul</v>
      </c>
      <c r="D1179" t="s">
        <v>159</v>
      </c>
      <c r="E1179" t="s">
        <v>16</v>
      </c>
      <c r="F1179" t="s">
        <v>136</v>
      </c>
      <c r="G1179" t="s">
        <v>46</v>
      </c>
      <c r="H1179">
        <v>1</v>
      </c>
      <c r="I1179">
        <v>2036</v>
      </c>
      <c r="J1179">
        <v>2036</v>
      </c>
    </row>
    <row r="1180" spans="1:10" x14ac:dyDescent="0.3">
      <c r="A1180">
        <v>1082</v>
      </c>
      <c r="B1180" t="s">
        <v>573</v>
      </c>
      <c r="C1180" t="str">
        <f>TEXT(Sales[[#This Row],[Order_Date]],"mmm")</f>
        <v>Nov</v>
      </c>
      <c r="D1180" t="s">
        <v>414</v>
      </c>
      <c r="E1180" t="s">
        <v>16</v>
      </c>
      <c r="F1180" t="s">
        <v>136</v>
      </c>
      <c r="G1180" t="s">
        <v>124</v>
      </c>
      <c r="H1180">
        <v>2</v>
      </c>
      <c r="I1180">
        <v>4863</v>
      </c>
      <c r="J1180">
        <v>9726</v>
      </c>
    </row>
    <row r="1181" spans="1:10" x14ac:dyDescent="0.3">
      <c r="A1181">
        <v>1379</v>
      </c>
      <c r="B1181" t="s">
        <v>401</v>
      </c>
      <c r="C1181" t="str">
        <f>TEXT(Sales[[#This Row],[Order_Date]],"mmm")</f>
        <v>Jan</v>
      </c>
      <c r="D1181" t="s">
        <v>210</v>
      </c>
      <c r="E1181" t="s">
        <v>11</v>
      </c>
      <c r="F1181" t="s">
        <v>136</v>
      </c>
      <c r="G1181" t="s">
        <v>67</v>
      </c>
      <c r="H1181">
        <v>4</v>
      </c>
      <c r="I1181">
        <v>3223</v>
      </c>
      <c r="J1181">
        <v>12892</v>
      </c>
    </row>
    <row r="1182" spans="1:10" x14ac:dyDescent="0.3">
      <c r="A1182">
        <v>1483</v>
      </c>
      <c r="B1182" t="s">
        <v>435</v>
      </c>
      <c r="C1182" t="str">
        <f>TEXT(Sales[[#This Row],[Order_Date]],"mmm")</f>
        <v>Dec</v>
      </c>
      <c r="D1182" t="s">
        <v>61</v>
      </c>
      <c r="E1182" t="s">
        <v>42</v>
      </c>
      <c r="F1182" t="s">
        <v>17</v>
      </c>
      <c r="G1182" t="s">
        <v>101</v>
      </c>
      <c r="H1182">
        <v>1</v>
      </c>
      <c r="I1182">
        <v>453</v>
      </c>
      <c r="J1182">
        <v>453</v>
      </c>
    </row>
    <row r="1183" spans="1:10" x14ac:dyDescent="0.3">
      <c r="A1183">
        <v>1250</v>
      </c>
      <c r="B1183" t="s">
        <v>300</v>
      </c>
      <c r="C1183" t="str">
        <f>TEXT(Sales[[#This Row],[Order_Date]],"mmm")</f>
        <v>Dec</v>
      </c>
      <c r="D1183" t="s">
        <v>24</v>
      </c>
      <c r="E1183" t="s">
        <v>16</v>
      </c>
      <c r="F1183" t="s">
        <v>136</v>
      </c>
      <c r="G1183" t="s">
        <v>128</v>
      </c>
      <c r="H1183">
        <v>5</v>
      </c>
      <c r="I1183">
        <v>1110</v>
      </c>
      <c r="J1183">
        <v>5550</v>
      </c>
    </row>
    <row r="1184" spans="1:10" x14ac:dyDescent="0.3">
      <c r="A1184">
        <v>1163</v>
      </c>
      <c r="B1184" t="s">
        <v>328</v>
      </c>
      <c r="C1184" t="str">
        <f>TEXT(Sales[[#This Row],[Order_Date]],"mmm")</f>
        <v>May</v>
      </c>
      <c r="D1184" t="s">
        <v>301</v>
      </c>
      <c r="E1184" t="s">
        <v>11</v>
      </c>
      <c r="F1184" t="s">
        <v>83</v>
      </c>
      <c r="G1184" t="s">
        <v>32</v>
      </c>
      <c r="H1184">
        <v>5</v>
      </c>
      <c r="I1184">
        <v>4051</v>
      </c>
      <c r="J1184">
        <v>20255</v>
      </c>
    </row>
    <row r="1185" spans="1:10" x14ac:dyDescent="0.3">
      <c r="A1185">
        <v>1427</v>
      </c>
      <c r="B1185" t="s">
        <v>377</v>
      </c>
      <c r="C1185" t="str">
        <f>TEXT(Sales[[#This Row],[Order_Date]],"mmm")</f>
        <v>May</v>
      </c>
      <c r="D1185" t="s">
        <v>631</v>
      </c>
      <c r="E1185" t="s">
        <v>16</v>
      </c>
      <c r="F1185" t="s">
        <v>83</v>
      </c>
      <c r="G1185" t="s">
        <v>57</v>
      </c>
      <c r="H1185">
        <v>4</v>
      </c>
      <c r="I1185">
        <v>689</v>
      </c>
      <c r="J1185">
        <v>2756</v>
      </c>
    </row>
    <row r="1186" spans="1:10" x14ac:dyDescent="0.3">
      <c r="A1186">
        <v>1040</v>
      </c>
      <c r="B1186" t="s">
        <v>110</v>
      </c>
      <c r="C1186" t="str">
        <f>TEXT(Sales[[#This Row],[Order_Date]],"mmm")</f>
        <v>Jul</v>
      </c>
      <c r="D1186" t="s">
        <v>634</v>
      </c>
      <c r="E1186" t="s">
        <v>25</v>
      </c>
      <c r="F1186" t="s">
        <v>136</v>
      </c>
      <c r="G1186" t="s">
        <v>46</v>
      </c>
      <c r="H1186">
        <v>2</v>
      </c>
      <c r="I1186">
        <v>2350</v>
      </c>
      <c r="J1186">
        <v>4700</v>
      </c>
    </row>
    <row r="1187" spans="1:10" x14ac:dyDescent="0.3">
      <c r="A1187">
        <v>1114</v>
      </c>
      <c r="B1187" t="s">
        <v>393</v>
      </c>
      <c r="C1187" t="str">
        <f>TEXT(Sales[[#This Row],[Order_Date]],"mmm")</f>
        <v>Mar</v>
      </c>
      <c r="D1187" t="s">
        <v>230</v>
      </c>
      <c r="E1187" t="s">
        <v>16</v>
      </c>
      <c r="F1187" t="s">
        <v>136</v>
      </c>
      <c r="G1187" t="s">
        <v>22</v>
      </c>
      <c r="H1187">
        <v>4</v>
      </c>
      <c r="I1187">
        <v>1921</v>
      </c>
      <c r="J1187">
        <v>7684</v>
      </c>
    </row>
    <row r="1188" spans="1:10" x14ac:dyDescent="0.3">
      <c r="A1188">
        <v>1075</v>
      </c>
      <c r="B1188" t="s">
        <v>96</v>
      </c>
      <c r="C1188" t="str">
        <f>TEXT(Sales[[#This Row],[Order_Date]],"mmm")</f>
        <v>Aug</v>
      </c>
      <c r="D1188" t="s">
        <v>111</v>
      </c>
      <c r="E1188" t="s">
        <v>25</v>
      </c>
      <c r="F1188" t="s">
        <v>136</v>
      </c>
      <c r="G1188" t="s">
        <v>128</v>
      </c>
      <c r="H1188">
        <v>3</v>
      </c>
      <c r="I1188">
        <v>3842</v>
      </c>
      <c r="J1188">
        <v>11526</v>
      </c>
    </row>
    <row r="1189" spans="1:10" x14ac:dyDescent="0.3">
      <c r="A1189">
        <v>1264</v>
      </c>
      <c r="B1189" t="s">
        <v>654</v>
      </c>
      <c r="C1189" t="str">
        <f>TEXT(Sales[[#This Row],[Order_Date]],"mmm")</f>
        <v>Oct</v>
      </c>
      <c r="D1189" t="s">
        <v>177</v>
      </c>
      <c r="E1189" t="s">
        <v>42</v>
      </c>
      <c r="F1189" t="s">
        <v>83</v>
      </c>
      <c r="G1189" t="s">
        <v>93</v>
      </c>
      <c r="H1189">
        <v>1</v>
      </c>
      <c r="I1189">
        <v>2010</v>
      </c>
      <c r="J1189">
        <v>2010</v>
      </c>
    </row>
    <row r="1190" spans="1:10" x14ac:dyDescent="0.3">
      <c r="A1190">
        <v>1298</v>
      </c>
      <c r="B1190" t="s">
        <v>188</v>
      </c>
      <c r="C1190" t="str">
        <f>TEXT(Sales[[#This Row],[Order_Date]],"mmm")</f>
        <v>Jun</v>
      </c>
      <c r="D1190" t="s">
        <v>109</v>
      </c>
      <c r="E1190" t="s">
        <v>16</v>
      </c>
      <c r="F1190" t="s">
        <v>17</v>
      </c>
      <c r="G1190" t="s">
        <v>18</v>
      </c>
      <c r="H1190">
        <v>4</v>
      </c>
      <c r="I1190">
        <v>2615</v>
      </c>
      <c r="J1190">
        <v>10460</v>
      </c>
    </row>
    <row r="1191" spans="1:10" x14ac:dyDescent="0.3">
      <c r="A1191">
        <v>1131</v>
      </c>
      <c r="B1191" t="s">
        <v>343</v>
      </c>
      <c r="C1191" t="str">
        <f>TEXT(Sales[[#This Row],[Order_Date]],"mmm")</f>
        <v>Mar</v>
      </c>
      <c r="D1191" t="s">
        <v>201</v>
      </c>
      <c r="E1191" t="s">
        <v>16</v>
      </c>
      <c r="F1191" t="s">
        <v>89</v>
      </c>
      <c r="G1191" t="s">
        <v>75</v>
      </c>
      <c r="H1191">
        <v>1</v>
      </c>
      <c r="I1191">
        <v>1933</v>
      </c>
      <c r="J1191">
        <v>1933</v>
      </c>
    </row>
    <row r="1192" spans="1:10" x14ac:dyDescent="0.3">
      <c r="A1192">
        <v>1012</v>
      </c>
      <c r="B1192" t="s">
        <v>428</v>
      </c>
      <c r="C1192" t="str">
        <f>TEXT(Sales[[#This Row],[Order_Date]],"mmm")</f>
        <v>May</v>
      </c>
      <c r="D1192" t="s">
        <v>230</v>
      </c>
      <c r="E1192" t="s">
        <v>25</v>
      </c>
      <c r="F1192" t="s">
        <v>136</v>
      </c>
      <c r="G1192" t="s">
        <v>46</v>
      </c>
      <c r="H1192">
        <v>2</v>
      </c>
      <c r="I1192">
        <v>4304</v>
      </c>
      <c r="J1192">
        <v>8608</v>
      </c>
    </row>
    <row r="1193" spans="1:10" x14ac:dyDescent="0.3">
      <c r="A1193">
        <v>1496</v>
      </c>
      <c r="B1193" t="s">
        <v>161</v>
      </c>
      <c r="C1193" t="str">
        <f>TEXT(Sales[[#This Row],[Order_Date]],"mmm")</f>
        <v>Nov</v>
      </c>
      <c r="D1193" t="s">
        <v>385</v>
      </c>
      <c r="E1193" t="s">
        <v>11</v>
      </c>
      <c r="F1193" t="s">
        <v>136</v>
      </c>
      <c r="G1193" t="s">
        <v>128</v>
      </c>
      <c r="H1193">
        <v>1</v>
      </c>
      <c r="I1193">
        <v>730</v>
      </c>
      <c r="J1193">
        <v>730</v>
      </c>
    </row>
    <row r="1194" spans="1:10" x14ac:dyDescent="0.3">
      <c r="A1194">
        <v>1229</v>
      </c>
      <c r="B1194" t="s">
        <v>576</v>
      </c>
      <c r="C1194" t="str">
        <f>TEXT(Sales[[#This Row],[Order_Date]],"mmm")</f>
        <v>Mar</v>
      </c>
      <c r="D1194" t="s">
        <v>436</v>
      </c>
      <c r="E1194" t="s">
        <v>16</v>
      </c>
      <c r="F1194" t="s">
        <v>83</v>
      </c>
      <c r="G1194" t="s">
        <v>93</v>
      </c>
      <c r="H1194">
        <v>4</v>
      </c>
      <c r="I1194">
        <v>4864</v>
      </c>
      <c r="J1194">
        <v>19456</v>
      </c>
    </row>
    <row r="1195" spans="1:10" x14ac:dyDescent="0.3">
      <c r="A1195">
        <v>1536</v>
      </c>
      <c r="B1195" t="s">
        <v>644</v>
      </c>
      <c r="C1195" t="str">
        <f>TEXT(Sales[[#This Row],[Order_Date]],"mmm")</f>
        <v>Apr</v>
      </c>
      <c r="D1195" t="s">
        <v>10</v>
      </c>
      <c r="E1195" t="s">
        <v>11</v>
      </c>
      <c r="F1195" t="s">
        <v>17</v>
      </c>
      <c r="G1195" t="s">
        <v>101</v>
      </c>
      <c r="H1195">
        <v>1</v>
      </c>
      <c r="I1195">
        <v>2899</v>
      </c>
      <c r="J1195">
        <v>2899</v>
      </c>
    </row>
    <row r="1196" spans="1:10" x14ac:dyDescent="0.3">
      <c r="A1196">
        <v>1547</v>
      </c>
      <c r="B1196" t="s">
        <v>499</v>
      </c>
      <c r="C1196" t="str">
        <f>TEXT(Sales[[#This Row],[Order_Date]],"mmm")</f>
        <v>Oct</v>
      </c>
      <c r="D1196" t="s">
        <v>212</v>
      </c>
      <c r="E1196" t="s">
        <v>16</v>
      </c>
      <c r="F1196" t="s">
        <v>83</v>
      </c>
      <c r="G1196" t="s">
        <v>32</v>
      </c>
      <c r="H1196">
        <v>2</v>
      </c>
      <c r="I1196">
        <v>2297</v>
      </c>
      <c r="J1196">
        <v>4594</v>
      </c>
    </row>
    <row r="1197" spans="1:10" x14ac:dyDescent="0.3">
      <c r="A1197">
        <v>1250</v>
      </c>
      <c r="B1197" t="s">
        <v>644</v>
      </c>
      <c r="C1197" t="str">
        <f>TEXT(Sales[[#This Row],[Order_Date]],"mmm")</f>
        <v>Apr</v>
      </c>
      <c r="D1197" t="s">
        <v>185</v>
      </c>
      <c r="E1197" t="s">
        <v>42</v>
      </c>
      <c r="F1197" t="s">
        <v>136</v>
      </c>
      <c r="G1197" t="s">
        <v>128</v>
      </c>
      <c r="H1197">
        <v>5</v>
      </c>
      <c r="I1197">
        <v>2473</v>
      </c>
      <c r="J1197">
        <v>12365</v>
      </c>
    </row>
    <row r="1198" spans="1:10" x14ac:dyDescent="0.3">
      <c r="A1198">
        <v>1065</v>
      </c>
      <c r="B1198" t="s">
        <v>606</v>
      </c>
      <c r="C1198" t="str">
        <f>TEXT(Sales[[#This Row],[Order_Date]],"mmm")</f>
        <v>Mar</v>
      </c>
      <c r="D1198" t="s">
        <v>488</v>
      </c>
      <c r="E1198" t="s">
        <v>16</v>
      </c>
      <c r="F1198" t="s">
        <v>89</v>
      </c>
      <c r="G1198" t="s">
        <v>27</v>
      </c>
      <c r="H1198">
        <v>2</v>
      </c>
      <c r="I1198">
        <v>4997</v>
      </c>
      <c r="J1198">
        <v>9994</v>
      </c>
    </row>
    <row r="1199" spans="1:10" x14ac:dyDescent="0.3">
      <c r="A1199">
        <v>1100</v>
      </c>
      <c r="B1199" t="s">
        <v>652</v>
      </c>
      <c r="C1199" t="str">
        <f>TEXT(Sales[[#This Row],[Order_Date]],"mmm")</f>
        <v>Oct</v>
      </c>
      <c r="D1199" t="s">
        <v>99</v>
      </c>
      <c r="E1199" t="s">
        <v>16</v>
      </c>
      <c r="F1199" t="s">
        <v>83</v>
      </c>
      <c r="G1199" t="s">
        <v>112</v>
      </c>
      <c r="H1199">
        <v>4</v>
      </c>
      <c r="I1199">
        <v>1153</v>
      </c>
      <c r="J1199">
        <v>4612</v>
      </c>
    </row>
    <row r="1200" spans="1:10" x14ac:dyDescent="0.3">
      <c r="A1200">
        <v>1102</v>
      </c>
      <c r="B1200" t="s">
        <v>215</v>
      </c>
      <c r="C1200" t="str">
        <f>TEXT(Sales[[#This Row],[Order_Date]],"mmm")</f>
        <v>Oct</v>
      </c>
      <c r="D1200" t="s">
        <v>71</v>
      </c>
      <c r="E1200" t="s">
        <v>42</v>
      </c>
      <c r="F1200" t="s">
        <v>17</v>
      </c>
      <c r="G1200" t="s">
        <v>18</v>
      </c>
      <c r="H1200">
        <v>5</v>
      </c>
      <c r="I1200">
        <v>278</v>
      </c>
      <c r="J1200">
        <v>1390</v>
      </c>
    </row>
    <row r="1201" spans="1:10" x14ac:dyDescent="0.3">
      <c r="A1201">
        <v>1114</v>
      </c>
      <c r="B1201" t="s">
        <v>349</v>
      </c>
      <c r="C1201" t="str">
        <f>TEXT(Sales[[#This Row],[Order_Date]],"mmm")</f>
        <v>Aug</v>
      </c>
      <c r="D1201" t="s">
        <v>241</v>
      </c>
      <c r="E1201" t="s">
        <v>42</v>
      </c>
      <c r="F1201" t="s">
        <v>17</v>
      </c>
      <c r="G1201" t="s">
        <v>18</v>
      </c>
      <c r="H1201">
        <v>3</v>
      </c>
      <c r="I1201">
        <v>3535</v>
      </c>
      <c r="J1201">
        <v>10605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3986-91EE-4D80-AA18-62E96EF9EE51}">
  <dimension ref="A3:D11"/>
  <sheetViews>
    <sheetView zoomScale="153" zoomScaleNormal="120" workbookViewId="0">
      <selection activeCell="J8" sqref="J8"/>
    </sheetView>
  </sheetViews>
  <sheetFormatPr defaultRowHeight="14.4" x14ac:dyDescent="0.3"/>
  <cols>
    <col min="1" max="1" width="18.44140625" bestFit="1" customWidth="1"/>
    <col min="2" max="2" width="9.5546875" bestFit="1" customWidth="1"/>
  </cols>
  <sheetData>
    <row r="3" spans="1:4" x14ac:dyDescent="0.3">
      <c r="A3" t="s">
        <v>662</v>
      </c>
      <c r="B3" t="s">
        <v>663</v>
      </c>
    </row>
    <row r="5" spans="1:4" x14ac:dyDescent="0.3">
      <c r="A5" t="s">
        <v>659</v>
      </c>
      <c r="B5">
        <f>SUM(Sales[Revenue])</f>
        <v>9433865</v>
      </c>
      <c r="C5" s="6"/>
      <c r="D5" s="6"/>
    </row>
    <row r="6" spans="1:4" x14ac:dyDescent="0.3">
      <c r="A6" s="6"/>
      <c r="B6" s="6"/>
    </row>
    <row r="8" spans="1:4" x14ac:dyDescent="0.3">
      <c r="A8" t="s">
        <v>660</v>
      </c>
      <c r="B8">
        <f>COUNTA(Sales[Order_ID])</f>
        <v>1200</v>
      </c>
    </row>
    <row r="11" spans="1:4" x14ac:dyDescent="0.3">
      <c r="A11" t="s">
        <v>661</v>
      </c>
      <c r="B11" s="3">
        <f>B5/B8</f>
        <v>7861.5541666666668</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34379-4333-4AEA-956D-5E704FCABE06}">
  <dimension ref="A3:B8"/>
  <sheetViews>
    <sheetView zoomScaleNormal="100" workbookViewId="0">
      <selection activeCell="M23" sqref="M23"/>
    </sheetView>
  </sheetViews>
  <sheetFormatPr defaultRowHeight="14.4" x14ac:dyDescent="0.3"/>
  <cols>
    <col min="1" max="1" width="12.5546875" bestFit="1" customWidth="1"/>
    <col min="2" max="2" width="14.88671875" bestFit="1" customWidth="1"/>
  </cols>
  <sheetData>
    <row r="3" spans="1:2" x14ac:dyDescent="0.3">
      <c r="A3" s="4" t="s">
        <v>664</v>
      </c>
      <c r="B3" t="s">
        <v>665</v>
      </c>
    </row>
    <row r="4" spans="1:2" x14ac:dyDescent="0.3">
      <c r="A4" s="5" t="s">
        <v>11</v>
      </c>
      <c r="B4">
        <v>2608211</v>
      </c>
    </row>
    <row r="5" spans="1:2" x14ac:dyDescent="0.3">
      <c r="A5" s="5" t="s">
        <v>25</v>
      </c>
      <c r="B5">
        <v>2318872</v>
      </c>
    </row>
    <row r="6" spans="1:2" x14ac:dyDescent="0.3">
      <c r="A6" s="5" t="s">
        <v>16</v>
      </c>
      <c r="B6">
        <v>2255440</v>
      </c>
    </row>
    <row r="7" spans="1:2" x14ac:dyDescent="0.3">
      <c r="A7" s="5" t="s">
        <v>42</v>
      </c>
      <c r="B7">
        <v>2074590</v>
      </c>
    </row>
    <row r="8" spans="1:2" x14ac:dyDescent="0.3">
      <c r="A8" s="5" t="s">
        <v>657</v>
      </c>
      <c r="B8">
        <v>176752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51214-D541-41DF-A335-4B9146A877E4}">
  <dimension ref="A3:B7"/>
  <sheetViews>
    <sheetView workbookViewId="0">
      <selection activeCell="M10" sqref="M10"/>
    </sheetView>
  </sheetViews>
  <sheetFormatPr defaultRowHeight="14.4" x14ac:dyDescent="0.3"/>
  <cols>
    <col min="1" max="1" width="12.5546875" bestFit="1" customWidth="1"/>
    <col min="2" max="2" width="14.88671875" bestFit="1" customWidth="1"/>
  </cols>
  <sheetData>
    <row r="3" spans="1:2" x14ac:dyDescent="0.3">
      <c r="A3" s="4" t="s">
        <v>664</v>
      </c>
      <c r="B3" t="s">
        <v>665</v>
      </c>
    </row>
    <row r="4" spans="1:2" x14ac:dyDescent="0.3">
      <c r="A4" s="5" t="s">
        <v>83</v>
      </c>
      <c r="B4">
        <v>2427621</v>
      </c>
    </row>
    <row r="5" spans="1:2" x14ac:dyDescent="0.3">
      <c r="A5" s="5" t="s">
        <v>136</v>
      </c>
      <c r="B5">
        <v>2413523</v>
      </c>
    </row>
    <row r="6" spans="1:2" x14ac:dyDescent="0.3">
      <c r="A6" s="5" t="s">
        <v>17</v>
      </c>
      <c r="B6">
        <v>2358815</v>
      </c>
    </row>
    <row r="7" spans="1:2" x14ac:dyDescent="0.3">
      <c r="A7" s="5" t="s">
        <v>89</v>
      </c>
      <c r="B7">
        <v>2233906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FB287-81AB-48FB-BFE9-1A9AD02C21B4}">
  <dimension ref="A3:B8"/>
  <sheetViews>
    <sheetView workbookViewId="0">
      <selection activeCell="J3" sqref="J3"/>
    </sheetView>
  </sheetViews>
  <sheetFormatPr defaultRowHeight="14.4" x14ac:dyDescent="0.3"/>
  <cols>
    <col min="1" max="1" width="12.5546875" bestFit="1" customWidth="1"/>
    <col min="2" max="2" width="14.88671875" bestFit="1" customWidth="1"/>
  </cols>
  <sheetData>
    <row r="3" spans="1:2" x14ac:dyDescent="0.3">
      <c r="A3" s="4" t="s">
        <v>664</v>
      </c>
      <c r="B3" t="s">
        <v>665</v>
      </c>
    </row>
    <row r="4" spans="1:2" x14ac:dyDescent="0.3">
      <c r="A4" s="5" t="s">
        <v>124</v>
      </c>
      <c r="B4">
        <v>554397</v>
      </c>
    </row>
    <row r="5" spans="1:2" x14ac:dyDescent="0.3">
      <c r="A5" s="5" t="s">
        <v>93</v>
      </c>
      <c r="B5">
        <v>549607</v>
      </c>
    </row>
    <row r="6" spans="1:2" x14ac:dyDescent="0.3">
      <c r="A6" s="5" t="s">
        <v>128</v>
      </c>
      <c r="B6">
        <v>522946</v>
      </c>
    </row>
    <row r="7" spans="1:2" x14ac:dyDescent="0.3">
      <c r="A7" s="5" t="s">
        <v>32</v>
      </c>
      <c r="B7">
        <v>509555</v>
      </c>
    </row>
    <row r="8" spans="1:2" x14ac:dyDescent="0.3">
      <c r="A8" s="5" t="s">
        <v>133</v>
      </c>
      <c r="B8">
        <v>498613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24961-DF01-4C64-896D-F14F8EDEF627}">
  <dimension ref="A3:B15"/>
  <sheetViews>
    <sheetView workbookViewId="0">
      <selection activeCell="N17" sqref="N17"/>
    </sheetView>
  </sheetViews>
  <sheetFormatPr defaultRowHeight="14.4" x14ac:dyDescent="0.3"/>
  <cols>
    <col min="1" max="1" width="12.5546875" bestFit="1" customWidth="1"/>
    <col min="2" max="2" width="14.88671875" bestFit="1" customWidth="1"/>
  </cols>
  <sheetData>
    <row r="3" spans="1:2" x14ac:dyDescent="0.3">
      <c r="A3" s="4" t="s">
        <v>664</v>
      </c>
      <c r="B3" t="s">
        <v>665</v>
      </c>
    </row>
    <row r="4" spans="1:2" x14ac:dyDescent="0.3">
      <c r="A4" s="5" t="s">
        <v>666</v>
      </c>
      <c r="B4">
        <v>744377</v>
      </c>
    </row>
    <row r="5" spans="1:2" x14ac:dyDescent="0.3">
      <c r="A5" s="5" t="s">
        <v>667</v>
      </c>
      <c r="B5">
        <v>838313</v>
      </c>
    </row>
    <row r="6" spans="1:2" x14ac:dyDescent="0.3">
      <c r="A6" s="5" t="s">
        <v>668</v>
      </c>
      <c r="B6">
        <v>657380</v>
      </c>
    </row>
    <row r="7" spans="1:2" x14ac:dyDescent="0.3">
      <c r="A7" s="5" t="s">
        <v>669</v>
      </c>
      <c r="B7">
        <v>1002372</v>
      </c>
    </row>
    <row r="8" spans="1:2" x14ac:dyDescent="0.3">
      <c r="A8" s="5" t="s">
        <v>670</v>
      </c>
      <c r="B8">
        <v>695320</v>
      </c>
    </row>
    <row r="9" spans="1:2" x14ac:dyDescent="0.3">
      <c r="A9" s="5" t="s">
        <v>671</v>
      </c>
      <c r="B9">
        <v>859510</v>
      </c>
    </row>
    <row r="10" spans="1:2" x14ac:dyDescent="0.3">
      <c r="A10" s="5" t="s">
        <v>672</v>
      </c>
      <c r="B10">
        <v>691687</v>
      </c>
    </row>
    <row r="11" spans="1:2" x14ac:dyDescent="0.3">
      <c r="A11" s="5" t="s">
        <v>673</v>
      </c>
      <c r="B11">
        <v>768064</v>
      </c>
    </row>
    <row r="12" spans="1:2" x14ac:dyDescent="0.3">
      <c r="A12" s="5" t="s">
        <v>674</v>
      </c>
      <c r="B12">
        <v>1022361</v>
      </c>
    </row>
    <row r="13" spans="1:2" x14ac:dyDescent="0.3">
      <c r="A13" s="5" t="s">
        <v>675</v>
      </c>
      <c r="B13">
        <v>698188</v>
      </c>
    </row>
    <row r="14" spans="1:2" x14ac:dyDescent="0.3">
      <c r="A14" s="5" t="s">
        <v>676</v>
      </c>
      <c r="B14">
        <v>809656</v>
      </c>
    </row>
    <row r="15" spans="1:2" x14ac:dyDescent="0.3">
      <c r="A15" s="5" t="s">
        <v>677</v>
      </c>
      <c r="B15">
        <v>646637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72946-11D7-465D-A4C6-FDFAADBBD123}">
  <dimension ref="A1:AD36"/>
  <sheetViews>
    <sheetView showGridLines="0" tabSelected="1" zoomScale="80" zoomScaleNormal="80" workbookViewId="0">
      <selection activeCell="AC34" sqref="AC34"/>
    </sheetView>
  </sheetViews>
  <sheetFormatPr defaultRowHeight="14.4" x14ac:dyDescent="0.3"/>
  <cols>
    <col min="3" max="3" width="8.88671875" customWidth="1"/>
    <col min="6" max="6" width="8.88671875" customWidth="1"/>
    <col min="9" max="9" width="8.88671875" customWidth="1"/>
  </cols>
  <sheetData>
    <row r="1" spans="1:30" ht="28.05" customHeight="1" x14ac:dyDescent="0.3">
      <c r="A1" s="13" t="s">
        <v>690</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row>
    <row r="2" spans="1:30" ht="15" customHeight="1"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row>
    <row r="3" spans="1:30" x14ac:dyDescent="0.3">
      <c r="A3" s="7"/>
      <c r="B3" s="7"/>
      <c r="C3" s="7"/>
      <c r="D3" s="7"/>
      <c r="E3" s="7"/>
      <c r="F3" s="7"/>
      <c r="G3" s="7"/>
      <c r="H3" s="7"/>
      <c r="I3" s="7"/>
      <c r="J3" s="7"/>
      <c r="K3" s="7"/>
      <c r="L3" s="7"/>
      <c r="M3" s="7"/>
      <c r="N3" s="7"/>
      <c r="O3" s="7"/>
      <c r="P3" s="7"/>
      <c r="Q3" s="7"/>
      <c r="R3" s="7"/>
      <c r="S3" s="7"/>
      <c r="T3" s="7"/>
      <c r="U3" s="7"/>
      <c r="V3" s="7"/>
      <c r="W3" s="7"/>
      <c r="X3" s="7"/>
      <c r="Y3" s="7"/>
      <c r="Z3" s="7"/>
      <c r="AA3" s="7"/>
      <c r="AB3" s="7"/>
      <c r="AC3" s="7"/>
      <c r="AD3" s="7"/>
    </row>
    <row r="4" spans="1:30"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row>
    <row r="5" spans="1:30" x14ac:dyDescent="0.3">
      <c r="A5" s="7"/>
      <c r="B5" s="7"/>
      <c r="C5" s="7"/>
      <c r="D5" s="7"/>
      <c r="E5" s="7"/>
      <c r="F5" s="7"/>
      <c r="G5" s="7"/>
      <c r="H5" s="7"/>
      <c r="I5" s="7"/>
      <c r="J5" s="7"/>
      <c r="K5" s="7"/>
      <c r="L5" s="7"/>
      <c r="M5" s="7"/>
      <c r="N5" s="7"/>
      <c r="O5" s="7"/>
      <c r="P5" s="7"/>
      <c r="Q5" s="7"/>
      <c r="R5" s="7"/>
      <c r="S5" s="7"/>
      <c r="T5" s="7"/>
      <c r="U5" s="7"/>
      <c r="V5" s="7"/>
      <c r="W5" s="7"/>
      <c r="X5" s="7"/>
      <c r="Y5" s="7"/>
      <c r="Z5" s="7"/>
      <c r="AA5" s="7"/>
      <c r="AB5" s="7"/>
      <c r="AC5" s="7"/>
      <c r="AD5" s="7"/>
    </row>
    <row r="6" spans="1:30" x14ac:dyDescent="0.3">
      <c r="A6" s="7"/>
      <c r="B6" s="7"/>
      <c r="C6" s="7"/>
      <c r="D6" s="7"/>
      <c r="E6" s="7"/>
      <c r="F6" s="7"/>
      <c r="G6" s="7"/>
      <c r="H6" s="7"/>
      <c r="I6" s="7"/>
      <c r="J6" s="7"/>
      <c r="K6" s="7"/>
      <c r="L6" s="7"/>
      <c r="M6" s="7"/>
      <c r="N6" s="7"/>
      <c r="O6" s="7"/>
      <c r="P6" s="7"/>
      <c r="Q6" s="7"/>
      <c r="R6" s="7"/>
      <c r="S6" s="7"/>
      <c r="T6" s="7"/>
      <c r="U6" s="7"/>
      <c r="V6" s="7"/>
      <c r="W6" s="7"/>
      <c r="X6" s="7"/>
      <c r="Y6" s="7"/>
      <c r="Z6" s="7"/>
      <c r="AA6" s="7"/>
      <c r="AB6" s="7"/>
      <c r="AC6" s="7"/>
      <c r="AD6" s="7"/>
    </row>
    <row r="7" spans="1:30" x14ac:dyDescent="0.3">
      <c r="A7" s="7"/>
      <c r="B7" s="7"/>
      <c r="C7" s="7"/>
      <c r="D7" s="7"/>
      <c r="E7" s="7"/>
      <c r="F7" s="7"/>
      <c r="G7" s="7"/>
      <c r="H7" s="7"/>
      <c r="I7" s="7"/>
      <c r="J7" s="7"/>
      <c r="K7" s="7"/>
      <c r="L7" s="7"/>
      <c r="M7" s="7"/>
      <c r="N7" s="7"/>
      <c r="O7" s="7"/>
      <c r="P7" s="7"/>
      <c r="Q7" s="7"/>
      <c r="R7" s="7"/>
      <c r="S7" s="7"/>
      <c r="T7" s="7"/>
      <c r="U7" s="7"/>
      <c r="V7" s="7"/>
      <c r="W7" s="7"/>
      <c r="X7" s="7"/>
      <c r="Y7" s="7"/>
      <c r="Z7" s="7"/>
      <c r="AA7" s="7"/>
      <c r="AB7" s="7"/>
      <c r="AC7" s="7"/>
      <c r="AD7" s="7"/>
    </row>
    <row r="8" spans="1:30" x14ac:dyDescent="0.3">
      <c r="A8" s="7"/>
      <c r="B8" s="7"/>
      <c r="C8" s="7"/>
      <c r="D8" s="7"/>
      <c r="E8" s="7"/>
      <c r="F8" s="7"/>
      <c r="G8" s="7"/>
      <c r="H8" s="7"/>
      <c r="I8" s="7"/>
      <c r="J8" s="7"/>
      <c r="K8" s="7"/>
      <c r="L8" s="7"/>
      <c r="M8" s="7"/>
      <c r="N8" s="7"/>
      <c r="O8" s="7"/>
      <c r="P8" s="7"/>
      <c r="Q8" s="7"/>
      <c r="R8" s="7"/>
      <c r="S8" s="7"/>
      <c r="T8" s="7"/>
      <c r="U8" s="7"/>
      <c r="V8" s="7"/>
      <c r="W8" s="7"/>
      <c r="X8" s="7"/>
      <c r="Y8" s="7"/>
      <c r="Z8" s="7"/>
      <c r="AA8" s="7"/>
      <c r="AB8" s="7"/>
      <c r="AC8" s="7"/>
      <c r="AD8" s="7"/>
    </row>
    <row r="9" spans="1:30" x14ac:dyDescent="0.3">
      <c r="A9" s="7"/>
      <c r="B9" s="7"/>
      <c r="C9" s="7"/>
      <c r="D9" s="7"/>
      <c r="E9" s="7"/>
      <c r="F9" s="7"/>
      <c r="G9" s="7"/>
      <c r="H9" s="7"/>
      <c r="I9" s="7"/>
      <c r="J9" s="7"/>
      <c r="K9" s="7"/>
      <c r="L9" s="7"/>
      <c r="M9" s="7"/>
      <c r="N9" s="7"/>
      <c r="O9" s="7"/>
      <c r="P9" s="7"/>
      <c r="Q9" s="7"/>
      <c r="R9" s="7"/>
      <c r="S9" s="7"/>
      <c r="T9" s="7"/>
      <c r="U9" s="7"/>
      <c r="V9" s="7"/>
      <c r="W9" s="7"/>
      <c r="X9" s="7"/>
      <c r="Y9" s="7"/>
      <c r="Z9" s="7"/>
      <c r="AA9" s="7"/>
      <c r="AB9" s="7"/>
      <c r="AC9" s="7"/>
      <c r="AD9" s="7"/>
    </row>
    <row r="10" spans="1:30" x14ac:dyDescent="0.3">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row>
    <row r="11" spans="1:30" x14ac:dyDescent="0.3">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row>
    <row r="12" spans="1:30" x14ac:dyDescent="0.3">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row>
    <row r="13" spans="1:30" x14ac:dyDescent="0.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row>
    <row r="14" spans="1:30" x14ac:dyDescent="0.3">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row>
    <row r="15" spans="1:30" x14ac:dyDescent="0.3">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row>
    <row r="16" spans="1:30" x14ac:dyDescent="0.3">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row>
    <row r="17" spans="1:30" x14ac:dyDescent="0.3">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row>
    <row r="18" spans="1:30" x14ac:dyDescent="0.3">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row>
    <row r="19" spans="1:30" x14ac:dyDescent="0.3">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row>
    <row r="20" spans="1:30" x14ac:dyDescent="0.3">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row>
    <row r="21" spans="1:30" x14ac:dyDescent="0.3">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row>
    <row r="22" spans="1:30" x14ac:dyDescent="0.3">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row>
    <row r="23" spans="1:30" x14ac:dyDescent="0.3">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row>
    <row r="24" spans="1:30" x14ac:dyDescent="0.3">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row>
    <row r="25" spans="1:30" x14ac:dyDescent="0.3">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row>
    <row r="26" spans="1:30" x14ac:dyDescent="0.3">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row>
    <row r="27" spans="1:30" x14ac:dyDescent="0.3">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row>
    <row r="28" spans="1:30" x14ac:dyDescent="0.3">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row>
    <row r="29" spans="1:30" x14ac:dyDescent="0.3">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row>
    <row r="30" spans="1:30" x14ac:dyDescent="0.3">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row>
    <row r="31" spans="1:30" x14ac:dyDescent="0.3">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row>
    <row r="32" spans="1:30" x14ac:dyDescent="0.3">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row>
    <row r="33" spans="1:30" x14ac:dyDescent="0.3">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row>
    <row r="34" spans="1:30" x14ac:dyDescent="0.3">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row>
    <row r="35" spans="1:30" x14ac:dyDescent="0.3">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row>
    <row r="36" spans="1:30" x14ac:dyDescent="0.3">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row>
  </sheetData>
  <mergeCells count="1">
    <mergeCell ref="A1:AD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8F23C-0CFF-40AE-AC2B-5C853D74D207}">
  <dimension ref="A1:G24"/>
  <sheetViews>
    <sheetView showGridLines="0" zoomScale="110" zoomScaleNormal="110" workbookViewId="0">
      <selection activeCell="J16" sqref="J16"/>
    </sheetView>
  </sheetViews>
  <sheetFormatPr defaultRowHeight="14.4" x14ac:dyDescent="0.3"/>
  <cols>
    <col min="1" max="16384" width="8.88671875" style="8"/>
  </cols>
  <sheetData>
    <row r="1" spans="1:7" ht="21" x14ac:dyDescent="0.4">
      <c r="A1" s="10" t="s">
        <v>689</v>
      </c>
      <c r="B1" s="11"/>
      <c r="C1" s="11"/>
      <c r="D1" s="11"/>
      <c r="E1" s="11"/>
      <c r="F1" s="11"/>
      <c r="G1" s="11"/>
    </row>
    <row r="3" spans="1:7" ht="15.6" x14ac:dyDescent="0.3">
      <c r="A3" s="12" t="s">
        <v>678</v>
      </c>
      <c r="B3" s="11"/>
    </row>
    <row r="5" spans="1:7" x14ac:dyDescent="0.3">
      <c r="A5" s="8" t="s">
        <v>684</v>
      </c>
    </row>
    <row r="7" spans="1:7" x14ac:dyDescent="0.3">
      <c r="A7" s="8" t="s">
        <v>679</v>
      </c>
    </row>
    <row r="9" spans="1:7" x14ac:dyDescent="0.3">
      <c r="A9" s="8" t="s">
        <v>680</v>
      </c>
    </row>
    <row r="11" spans="1:7" x14ac:dyDescent="0.3">
      <c r="A11" s="8" t="s">
        <v>681</v>
      </c>
    </row>
    <row r="13" spans="1:7" x14ac:dyDescent="0.3">
      <c r="A13" s="8" t="s">
        <v>683</v>
      </c>
    </row>
    <row r="15" spans="1:7" x14ac:dyDescent="0.3">
      <c r="A15" s="9"/>
    </row>
    <row r="16" spans="1:7" ht="15.6" x14ac:dyDescent="0.3">
      <c r="A16" s="12" t="s">
        <v>682</v>
      </c>
      <c r="B16" s="11"/>
      <c r="C16" s="11"/>
      <c r="D16" s="11"/>
    </row>
    <row r="18" spans="1:1" x14ac:dyDescent="0.3">
      <c r="A18" s="8" t="s">
        <v>685</v>
      </c>
    </row>
    <row r="20" spans="1:1" x14ac:dyDescent="0.3">
      <c r="A20" s="8" t="s">
        <v>686</v>
      </c>
    </row>
    <row r="22" spans="1:1" x14ac:dyDescent="0.3">
      <c r="A22" s="8" t="s">
        <v>687</v>
      </c>
    </row>
    <row r="24" spans="1:1" x14ac:dyDescent="0.3">
      <c r="A24" s="8" t="s">
        <v>688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Data</vt:lpstr>
      <vt:lpstr>Cleaned Data</vt:lpstr>
      <vt:lpstr>KPI</vt:lpstr>
      <vt:lpstr>Regions</vt:lpstr>
      <vt:lpstr>Categories</vt:lpstr>
      <vt:lpstr>Products</vt:lpstr>
      <vt:lpstr>Monthly</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abhogam7@gmail.com</cp:lastModifiedBy>
  <dcterms:created xsi:type="dcterms:W3CDTF">2026-03-28T08:01:47Z</dcterms:created>
  <dcterms:modified xsi:type="dcterms:W3CDTF">2026-04-01T16:24:35Z</dcterms:modified>
</cp:coreProperties>
</file>